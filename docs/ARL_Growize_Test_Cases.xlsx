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User Flows" sheetId="3" state="visible" r:id="rId5"/>
    <sheet name="Auth &amp; Onboarding" sheetId="4" state="visible" r:id="rId6"/>
    <sheet name="Home &amp; Portfolio" sheetId="5" state="visible" r:id="rId7"/>
    <sheet name="Projects" sheetId="6" state="visible" r:id="rId8"/>
    <sheet name="Financials" sheetId="7" state="visible" r:id="rId9"/>
    <sheet name="Documents" sheetId="8" state="visible" r:id="rId10"/>
    <sheet name="Activity &amp; Gallery" sheetId="9" state="visible" r:id="rId11"/>
    <sheet name="Explore &amp; Exit" sheetId="10" state="visible" r:id="rId12"/>
    <sheet name="Profile &amp; Settings" sheetId="11" state="visible" r:id="rId13"/>
    <sheet name="Support" sheetId="12" state="visible" r:id="rId14"/>
    <sheet name="Cross-Cutting (UX-Perf-Sec)" sheetId="13" state="visible" r:id="rId15"/>
    <sheet name="Backend - DB &amp; RLS" sheetId="14" state="visible" r:id="rId16"/>
    <sheet name="Backend - Edge Functions &amp; Sync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<sst xmlns="http://schemas.openxmlformats.org/spreadsheetml/2006/main" count="1704" uniqueCount="891">
  <si>
    <t xml:space="preserve">ARL Growize — Investor Portal Test Cases</t>
  </si>
  <si>
    <t xml:space="preserve">Purpose</t>
  </si>
  <si>
    <t xml:space="preserve">Reusable regression checklist for the Growize Flutter app (mobile + web) and its Supabase backend. Run before each release to catch UI or backend breakage.</t>
  </si>
  <si>
    <t xml:space="preserve">How to use</t>
  </si>
  <si>
    <t xml:space="preserve">For each test, follow the Steps, then set Status (dropdown) and fill Actual Result / Tester / Date. Log defects in the last column. Filter by Priority or Type as needed.</t>
  </si>
  <si>
    <t xml:space="preserve">Sheets</t>
  </si>
  <si>
    <t xml:space="preserve">UI journeys grouped by feature, plus 'Cross-Cutting' (offline/errors/perf/security), 'Backend - DB &amp; RLS', and 'Backend - Edge Functions &amp; Sync'. See Dashboard for live pass/fail counts.</t>
  </si>
  <si>
    <t xml:space="preserve">Status values</t>
  </si>
  <si>
    <t xml:space="preserve">Not Run (default) · Pass · Fail · Blocked · N/A  (colour-coded automatically)</t>
  </si>
  <si>
    <t xml:space="preserve">Priority</t>
  </si>
  <si>
    <t xml:space="preserve">P0 = must work / launch blocker · P1 = important · P2 = nice-to-have · P3 = edge</t>
  </si>
  <si>
    <t xml:space="preserve">Type</t>
  </si>
  <si>
    <t xml:space="preserve">UI · E2E · Backend · API · RLS · Security · Performance · Accessibility</t>
  </si>
  <si>
    <t xml:space="preserve">Environment</t>
  </si>
  <si>
    <t xml:space="preserve">Record build (web/Android/iOS), app version, Supabase project (oynfhdqizebvgmaoiuax), and tester per run.</t>
  </si>
  <si>
    <t xml:space="preserve">Test data tips</t>
  </si>
  <si>
    <t xml:space="preserve">Use a real investor with allocations for E2E; a second investor to verify RLS isolation; attach a small PDF in Zoho to validate documents-sync end-to-end.</t>
  </si>
  <si>
    <t xml:space="preserve">Known follow-ups</t>
  </si>
  <si>
    <t xml:space="preserve">BE-FN-007: apply the projects.llp_status fix to gallery-sync. DOC-011/BE-FN-002/003: need real Zoho attachments to see files flow. Repo schema baseline pending a Docker 'supabase db pull'.</t>
  </si>
  <si>
    <t xml:space="preserve">Sheet</t>
  </si>
  <si>
    <t xml:space="preserve">Total</t>
  </si>
  <si>
    <t xml:space="preserve">Not Run</t>
  </si>
  <si>
    <t xml:space="preserve">Pass</t>
  </si>
  <si>
    <t xml:space="preserve">Fail</t>
  </si>
  <si>
    <t xml:space="preserve">Blocked</t>
  </si>
  <si>
    <t xml:space="preserve">N/A</t>
  </si>
  <si>
    <t xml:space="preserve">% Pass</t>
  </si>
  <si>
    <t xml:space="preserve">Auth &amp; Onboarding</t>
  </si>
  <si>
    <t xml:space="preserve">Home &amp; Portfolio</t>
  </si>
  <si>
    <t xml:space="preserve">Projects</t>
  </si>
  <si>
    <t xml:space="preserve">Financials</t>
  </si>
  <si>
    <t xml:space="preserve">Documents</t>
  </si>
  <si>
    <t xml:space="preserve">Activity &amp; Gallery</t>
  </si>
  <si>
    <t xml:space="preserve">Explore &amp; Exit</t>
  </si>
  <si>
    <t xml:space="preserve">Profile &amp; Settings</t>
  </si>
  <si>
    <t xml:space="preserve">Support</t>
  </si>
  <si>
    <t xml:space="preserve">Cross-Cutting (UX-Perf-Sec)</t>
  </si>
  <si>
    <t xml:space="preserve">Backend - DB &amp; RLS</t>
  </si>
  <si>
    <t xml:space="preserve">Backend - Edge Functions &amp; Sync</t>
  </si>
  <si>
    <t xml:space="preserve">TOTAL</t>
  </si>
  <si>
    <t xml:space="preserve">Flow ID</t>
  </si>
  <si>
    <t xml:space="preserve">Journey</t>
  </si>
  <si>
    <t xml:space="preserve">Step</t>
  </si>
  <si>
    <t xml:space="preserve">Screen / Surface</t>
  </si>
  <si>
    <t xml:space="preserve">User Action</t>
  </si>
  <si>
    <t xml:space="preserve">System / Backend</t>
  </si>
  <si>
    <t xml:space="preserve">Expected Outcome</t>
  </si>
  <si>
    <t xml:space="preserve">Linked Test IDs</t>
  </si>
  <si>
    <t xml:space="preserve">FLOW-A</t>
  </si>
  <si>
    <t xml:space="preserve">First launch &amp; authentication</t>
  </si>
  <si>
    <t xml:space="preserve">Launch / boot</t>
  </si>
  <si>
    <t xml:space="preserve">Open app</t>
  </si>
  <si>
    <t xml:space="preserve">Supabase + Hive init; gate check</t>
  </si>
  <si>
    <t xml:space="preserve">App boots; gate evaluated</t>
  </si>
  <si>
    <t xml:space="preserve">AUTH-005, XC-006</t>
  </si>
  <si>
    <t xml:space="preserve">Version/maintenance gate</t>
  </si>
  <si>
    <t xml:space="preserve">(automatic)</t>
  </si>
  <si>
    <t xml:space="preserve">latest-app-version compare</t>
  </si>
  <si>
    <t xml:space="preserve">Force-update or maintenance screen if applicable, else continue</t>
  </si>
  <si>
    <t xml:space="preserve">XC-006, XC-007, BE-FN-015</t>
  </si>
  <si>
    <t xml:space="preserve">App lock</t>
  </si>
  <si>
    <t xml:space="preserve">Resume / idle return</t>
  </si>
  <si>
    <t xml:space="preserve">Biometric or PIN</t>
  </si>
  <si>
    <t xml:space="preserve">Lock enforced when enabled; content hidden until unlock</t>
  </si>
  <si>
    <t xml:space="preserve">AUTH-008</t>
  </si>
  <si>
    <t xml:space="preserve">Auth check</t>
  </si>
  <si>
    <t xml:space="preserve">Session check</t>
  </si>
  <si>
    <t xml:space="preserve">Signed in → Home; otherwise → Demo browsing</t>
  </si>
  <si>
    <t xml:space="preserve">AUTH-005</t>
  </si>
  <si>
    <t xml:space="preserve">Sign in</t>
  </si>
  <si>
    <t xml:space="preserve">Enter email</t>
  </si>
  <si>
    <t xml:space="preserve">request-auth-email</t>
  </si>
  <si>
    <t xml:space="preserve">Auth email / code sent; no enumeration leak</t>
  </si>
  <si>
    <t xml:space="preserve">AUTH-001, BE-FN-014</t>
  </si>
  <si>
    <t xml:space="preserve">Verify</t>
  </si>
  <si>
    <t xml:space="preserve">Enter OTP / open link</t>
  </si>
  <si>
    <t xml:space="preserve">Supabase auth</t>
  </si>
  <si>
    <t xml:space="preserve">Valid → session; invalid → inline error</t>
  </si>
  <si>
    <t xml:space="preserve">AUTH-002, AUTH-003</t>
  </si>
  <si>
    <t xml:space="preserve">Post-auth</t>
  </si>
  <si>
    <t xml:space="preserve">Providers invalidate</t>
  </si>
  <si>
    <t xml:space="preserve">Real data replaces demo; lands on Home</t>
  </si>
  <si>
    <t xml:space="preserve">AUTH-010, AUTH-012, XC-004</t>
  </si>
  <si>
    <t xml:space="preserve">FLOW-B</t>
  </si>
  <si>
    <t xml:space="preserve">Demo → authenticated</t>
  </si>
  <si>
    <t xml:space="preserve">Demo browse</t>
  </si>
  <si>
    <t xml:space="preserve">Browse tabs logged out</t>
  </si>
  <si>
    <t xml:space="preserve">Demo persona (client-side)</t>
  </si>
  <si>
    <t xml:space="preserve">Sample data + 'Sample' badges; no real data</t>
  </si>
  <si>
    <t xml:space="preserve">AUTH-005, HOME-010</t>
  </si>
  <si>
    <t xml:space="preserve">(see FLOW-A)</t>
  </si>
  <si>
    <t xml:space="preserve">request-auth-email + verify</t>
  </si>
  <si>
    <t xml:space="preserve">Session established</t>
  </si>
  <si>
    <t xml:space="preserve">AUTH-001, AUTH-002</t>
  </si>
  <si>
    <t xml:space="preserve">Transition</t>
  </si>
  <si>
    <t xml:space="preserve">Invalidate user-scoped caches</t>
  </si>
  <si>
    <t xml:space="preserve">No demo/real data mix afterwards</t>
  </si>
  <si>
    <t xml:space="preserve">AUTH-012, XC-004</t>
  </si>
  <si>
    <t xml:space="preserve">FLOW-C</t>
  </si>
  <si>
    <t xml:space="preserve">Portfolio → project → documents</t>
  </si>
  <si>
    <t xml:space="preserve">Home</t>
  </si>
  <si>
    <t xml:space="preserve">View dashboard</t>
  </si>
  <si>
    <t xml:space="preserve">scopedPortfolio + projects</t>
  </si>
  <si>
    <t xml:space="preserve">Totals + contract progress correct and in sync</t>
  </si>
  <si>
    <t xml:space="preserve">HOME-001, HOME-002, HOME-003</t>
  </si>
  <si>
    <t xml:space="preserve">Select project</t>
  </si>
  <si>
    <t xml:space="preserve">Tap selector</t>
  </si>
  <si>
    <t xml:space="preserve">Rescope providers</t>
  </si>
  <si>
    <t xml:space="preserve">Portfolio + financials scope to project</t>
  </si>
  <si>
    <t xml:space="preserve">HOME-004, FIN-007</t>
  </si>
  <si>
    <t xml:space="preserve">Projects list</t>
  </si>
  <si>
    <t xml:space="preserve">Open Projects tab</t>
  </si>
  <si>
    <t xml:space="preserve">projectsProvider</t>
  </si>
  <si>
    <t xml:space="preserve">Grid renders / empty state / Retry card</t>
  </si>
  <si>
    <t xml:space="preserve">PROJ-001, PROJ-002, PROJ-003</t>
  </si>
  <si>
    <t xml:space="preserve">Project detail</t>
  </si>
  <si>
    <t xml:space="preserve">Tap a tile</t>
  </si>
  <si>
    <t xml:space="preserve">projectById + phases/updates/allocation/docs</t>
  </si>
  <si>
    <t xml:space="preserve">Full detail; not-found and error handled gracefully</t>
  </si>
  <si>
    <t xml:space="preserve">PROJ-004, PROJ-005, PROJ-006, PROJ-007</t>
  </si>
  <si>
    <t xml:space="preserve">Open Documents</t>
  </si>
  <si>
    <t xml:space="preserve">documents + project_documents (RLS)</t>
  </si>
  <si>
    <t xml:space="preserve">Three sections render; RLS isolates per investor</t>
  </si>
  <si>
    <t xml:space="preserve">DOC-001, DOC-002, DOC-003, DOC-004</t>
  </si>
  <si>
    <t xml:space="preserve">Open document</t>
  </si>
  <si>
    <t xml:space="preserve">Tap a document</t>
  </si>
  <si>
    <t xml:space="preserve">Signed URL → in-app viewer</t>
  </si>
  <si>
    <t xml:space="preserve">Opens; or 'Not available yet' if file missing</t>
  </si>
  <si>
    <t xml:space="preserve">DOC-005, DOC-006</t>
  </si>
  <si>
    <t xml:space="preserve">FLOW-D</t>
  </si>
  <si>
    <t xml:space="preserve">Financials &amp; payouts</t>
  </si>
  <si>
    <t xml:space="preserve">Open tab</t>
  </si>
  <si>
    <t xml:space="preserve">scopedPortfolio + payouts</t>
  </si>
  <si>
    <t xml:space="preserve">Summary cards + payouts ledger</t>
  </si>
  <si>
    <t xml:space="preserve">FIN-001, FIN-002</t>
  </si>
  <si>
    <t xml:space="preserve">Empty / error</t>
  </si>
  <si>
    <t xml:space="preserve">(conditions)</t>
  </si>
  <si>
    <t xml:space="preserve">Provider state</t>
  </si>
  <si>
    <t xml:space="preserve">Empty state or Retry card (never blank/spinner-forever)</t>
  </si>
  <si>
    <t xml:space="preserve">FIN-003, FIN-004, FIN-005</t>
  </si>
  <si>
    <t xml:space="preserve">FY earned</t>
  </si>
  <si>
    <t xml:space="preserve">View</t>
  </si>
  <si>
    <t xml:space="preserve">Compute Apr–Mar window</t>
  </si>
  <si>
    <t xml:space="preserve">Correct FY-earned total</t>
  </si>
  <si>
    <t xml:space="preserve">FIN-006</t>
  </si>
  <si>
    <t xml:space="preserve">Scope</t>
  </si>
  <si>
    <t xml:space="preserve">Select a project</t>
  </si>
  <si>
    <t xml:space="preserve">Rescope</t>
  </si>
  <si>
    <t xml:space="preserve">Scoped totals + ledger</t>
  </si>
  <si>
    <t xml:space="preserve">FIN-007</t>
  </si>
  <si>
    <t xml:space="preserve">FLOW-E</t>
  </si>
  <si>
    <t xml:space="preserve">Documents data sync (E2E)</t>
  </si>
  <si>
    <t xml:space="preserve">Upload in Zoho</t>
  </si>
  <si>
    <t xml:space="preserve">Ops attaches PDF</t>
  </si>
  <si>
    <t xml:space="preserve">LLP / Contact attachment</t>
  </si>
  <si>
    <t xml:space="preserve">File staged on the Zoho record</t>
  </si>
  <si>
    <t xml:space="preserve">DOC-011</t>
  </si>
  <si>
    <t xml:space="preserve">Sync trigger</t>
  </si>
  <si>
    <t xml:space="preserve">Cron 06:15 IST / manual</t>
  </si>
  <si>
    <t xml:space="preserve">documents-sync (shared secret)</t>
  </si>
  <si>
    <t xml:space="preserve">Auth ok; scans projects + investors</t>
  </si>
  <si>
    <t xml:space="preserve">BE-FN-001, BE-FN-006</t>
  </si>
  <si>
    <t xml:space="preserve">Store bytes</t>
  </si>
  <si>
    <t xml:space="preserve">Upload to arl-documents</t>
  </si>
  <si>
    <t xml:space="preserve">Objects at project/&lt;id&gt; and investor/&lt;id&gt;</t>
  </si>
  <si>
    <t xml:space="preserve">BE-FN-002, BE-FN-003</t>
  </si>
  <si>
    <t xml:space="preserve">Catalog rows</t>
  </si>
  <si>
    <t xml:space="preserve">Upsert tables</t>
  </si>
  <si>
    <t xml:space="preserve">project_documents / documents rows; idempotent (no dupes)</t>
  </si>
  <si>
    <t xml:space="preserve">BE-FN-004, BE-DB-010</t>
  </si>
  <si>
    <t xml:space="preserve">Notify + log</t>
  </si>
  <si>
    <t xml:space="preserve">webhook_log + notifications</t>
  </si>
  <si>
    <t xml:space="preserve">Run logged 'processed'; investors notified</t>
  </si>
  <si>
    <t xml:space="preserve">BE-FN-005</t>
  </si>
  <si>
    <t xml:space="preserve">Appears in app</t>
  </si>
  <si>
    <t xml:space="preserve">Refresh app</t>
  </si>
  <si>
    <t xml:space="preserve">Signed URL</t>
  </si>
  <si>
    <t xml:space="preserve">File shows in correct section and opens</t>
  </si>
  <si>
    <t xml:space="preserve">DOC-011, BE-FN-016</t>
  </si>
  <si>
    <t xml:space="preserve">FLOW-F</t>
  </si>
  <si>
    <t xml:space="preserve">Exit request</t>
  </si>
  <si>
    <t xml:space="preserve">Exit eligibility</t>
  </si>
  <si>
    <t xml:space="preserve">Open Exit</t>
  </si>
  <si>
    <t xml:space="preserve">Eligibility providers</t>
  </si>
  <si>
    <t xml:space="preserve">Lock-in / earliest-unit / grid; neutral placeholders if absent</t>
  </si>
  <si>
    <t xml:space="preserve">EXIT-001, EXIT-003</t>
  </si>
  <si>
    <t xml:space="preserve">Request</t>
  </si>
  <si>
    <t xml:space="preserve">Submit exit</t>
  </si>
  <si>
    <t xml:space="preserve">exit_requests (edge-only write)</t>
  </si>
  <si>
    <t xml:space="preserve">Pending state surfaced</t>
  </si>
  <si>
    <t xml:space="preserve">EXIT-002</t>
  </si>
  <si>
    <t xml:space="preserve">Settlement</t>
  </si>
  <si>
    <t xml:space="preserve">(backend)</t>
  </si>
  <si>
    <t xml:space="preserve">Settle + notify</t>
  </si>
  <si>
    <t xml:space="preserve">'Exit settled' notification delivered</t>
  </si>
  <si>
    <t xml:space="preserve">EXIT-004</t>
  </si>
  <si>
    <t xml:space="preserve">FLOW-G</t>
  </si>
  <si>
    <t xml:space="preserve">Support ticket</t>
  </si>
  <si>
    <t xml:space="preserve">Open Support</t>
  </si>
  <si>
    <t xml:space="preserve">Static + tickets</t>
  </si>
  <si>
    <t xml:space="preserve">Screen + WhatsApp CTA</t>
  </si>
  <si>
    <t xml:space="preserve">SUP-001</t>
  </si>
  <si>
    <t xml:space="preserve">Create ticket</t>
  </si>
  <si>
    <t xml:space="preserve">Submit</t>
  </si>
  <si>
    <t xml:space="preserve">create-ticket (JWT)</t>
  </si>
  <si>
    <t xml:space="preserve">Ticket listed + first-message notification</t>
  </si>
  <si>
    <t xml:space="preserve">SUP-002, BE-FN-011</t>
  </si>
  <si>
    <t xml:space="preserve">Reply</t>
  </si>
  <si>
    <t xml:space="preserve">Submit reply</t>
  </si>
  <si>
    <t xml:space="preserve">reply-ticket (JWT)</t>
  </si>
  <si>
    <t xml:space="preserve">Thread updates</t>
  </si>
  <si>
    <t xml:space="preserve">SUP-003</t>
  </si>
  <si>
    <t xml:space="preserve">View thread</t>
  </si>
  <si>
    <t xml:space="preserve">Open ticket</t>
  </si>
  <si>
    <t xml:space="preserve">-</t>
  </si>
  <si>
    <t xml:space="preserve">Messages render in order with status</t>
  </si>
  <si>
    <t xml:space="preserve">SUP-004</t>
  </si>
  <si>
    <t xml:space="preserve">FLOW-H</t>
  </si>
  <si>
    <t xml:space="preserve">Profile / bank / KYC</t>
  </si>
  <si>
    <t xml:space="preserve">Profile</t>
  </si>
  <si>
    <t xml:space="preserve">Open Profile</t>
  </si>
  <si>
    <t xml:space="preserve">currentInvestor + portfolio</t>
  </si>
  <si>
    <t xml:space="preserve">Name/email; sensible loading fallback</t>
  </si>
  <si>
    <t xml:space="preserve">PROF-001</t>
  </si>
  <si>
    <t xml:space="preserve">KYC</t>
  </si>
  <si>
    <t xml:space="preserve">Open / resubmit</t>
  </si>
  <si>
    <t xml:space="preserve">KYC record</t>
  </si>
  <si>
    <t xml:space="preserve">Status correct; resubmission + notification</t>
  </si>
  <si>
    <t xml:space="preserve">PROF-002</t>
  </si>
  <si>
    <t xml:space="preserve">Bank change</t>
  </si>
  <si>
    <t xml:space="preserve">Submit change</t>
  </si>
  <si>
    <t xml:space="preserve">bank-change-request + notify-bank-update</t>
  </si>
  <si>
    <t xml:space="preserve">Confirmation; NO direct client DB write</t>
  </si>
  <si>
    <t xml:space="preserve">PROF-003, BE-FN-012</t>
  </si>
  <si>
    <t xml:space="preserve">Settings</t>
  </si>
  <si>
    <t xml:space="preserve">Toggle options</t>
  </si>
  <si>
    <t xml:space="preserve">user_settings</t>
  </si>
  <si>
    <t xml:space="preserve">App lock / biometric / prefs persist</t>
  </si>
  <si>
    <t xml:space="preserve">SET-001, SET-003</t>
  </si>
  <si>
    <t xml:space="preserve">FLOW-I</t>
  </si>
  <si>
    <t xml:space="preserve">Offline &amp; error resilience (cross-cutting)</t>
  </si>
  <si>
    <t xml:space="preserve">Any screen offline</t>
  </si>
  <si>
    <t xml:space="preserve">Lose connectivity</t>
  </si>
  <si>
    <t xml:space="preserve">Hive cache</t>
  </si>
  <si>
    <t xml:space="preserve">Last-known data renders; sync badge reflects state</t>
  </si>
  <si>
    <t xml:space="preserve">XC-002</t>
  </si>
  <si>
    <t xml:space="preserve">Fetch fails</t>
  </si>
  <si>
    <t xml:space="preserve">(condition)</t>
  </si>
  <si>
    <t xml:space="preserve">Provider error/empty</t>
  </si>
  <si>
    <t xml:space="preserve">Empty or Retry card — never blank or endless skeleton</t>
  </si>
  <si>
    <t xml:space="preserve">HOME-012, PROJ-003, FIN-004, DOC-007</t>
  </si>
  <si>
    <t xml:space="preserve">Widget crash</t>
  </si>
  <si>
    <t xml:space="preserve">ErrorWidget.builder</t>
  </si>
  <si>
    <t xml:space="preserve">Branded 'Something went wrong' card + Sentry (PII scrubbed)</t>
  </si>
  <si>
    <t xml:space="preserve">XC-001, XC-012</t>
  </si>
  <si>
    <t xml:space="preserve">Test ID</t>
  </si>
  <si>
    <t xml:space="preserve">Area</t>
  </si>
  <si>
    <t xml:space="preserve">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</si>
  <si>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</si>
  <si>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</si>
  <si>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</si>
  <si>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</si>
  <si>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Status</t>
  </si>
  <si>
    <t xml:space="preserve">Actual Result</t>
  </si>
  <si>
    <t xml:space="preserve">Tester</t>
  </si>
  <si>
    <t xml:space="preserve">Date</t>
  </si>
  <si>
    <t xml:space="preserve">Defect / Notes</t>
  </si>
  <si>
    <t xml:space="preserve">AUTH-001</t>
  </si>
  <si>
    <t xml:space="preserve">Auth</t>
  </si>
  <si>
    <t xml:space="preserve">Request login email with a valid registered email</t>
  </si>
  <si>
    <t xml:space="preserve">P0</t>
  </si>
  <si>
    <t xml:space="preserve">App installed; valid investor email exists</t>
  </si>
  <si>
    <t xml:space="preserve">1. Open app, tap Sign In
2. Enter registered email
3. Submit</t>
  </si>
  <si>
    <t xml:space="preserve">Registered investor email</t>
  </si>
  <si>
    <t xml:space="preserve">request-auth-email fires; user sees 'check your email / enter code' screen; no error</t>
  </si>
  <si>
    <t xml:space="preserve">E2E</t>
  </si>
  <si>
    <t xml:space="preserve">AUTH-002</t>
  </si>
  <si>
    <t xml:space="preserve">Complete auth with valid OTP/magic link</t>
  </si>
  <si>
    <t xml:space="preserve">AUTH-001 done</t>
  </si>
  <si>
    <t xml:space="preserve">1. Enter the OTP / open magic link
2. Confirm</t>
  </si>
  <si>
    <t xml:space="preserve">Valid code</t>
  </si>
  <si>
    <t xml:space="preserve">Session established; lands on Home with real (non-demo) data</t>
  </si>
  <si>
    <t xml:space="preserve">AUTH-003</t>
  </si>
  <si>
    <t xml:space="preserve">Reject invalid / expired OTP</t>
  </si>
  <si>
    <t xml:space="preserve">P1</t>
  </si>
  <si>
    <t xml:space="preserve">1. Enter wrong or expired code</t>
  </si>
  <si>
    <t xml:space="preserve">000000</t>
  </si>
  <si>
    <t xml:space="preserve">Clear inline error; no session created; user stays on auth screen</t>
  </si>
  <si>
    <t xml:space="preserve">UI</t>
  </si>
  <si>
    <t xml:space="preserve">AUTH-004</t>
  </si>
  <si>
    <t xml:space="preserve">Unregistered email handling</t>
  </si>
  <si>
    <t xml:space="preserve">1. Enter email with no investor record</t>
  </si>
  <si>
    <t xml:space="preserve">unknown@x.com</t>
  </si>
  <si>
    <t xml:space="preserve">Graceful message; no crash; no account leak of whether email exists</t>
  </si>
  <si>
    <t xml:space="preserve">Security</t>
  </si>
  <si>
    <t xml:space="preserve">Unauthenticated browsing shows DEMO data</t>
  </si>
  <si>
    <t xml:space="preserve">Logged out</t>
  </si>
  <si>
    <t xml:space="preserve">1. Open app without signing in
2. Browse Home/Projects/Financials</t>
  </si>
  <si>
    <t xml:space="preserve">Demo persona data shows with 'Sample' badges + demo banner; never real investor data</t>
  </si>
  <si>
    <t xml:space="preserve">AUTH-006</t>
  </si>
  <si>
    <t xml:space="preserve">Onboarding</t>
  </si>
  <si>
    <t xml:space="preserve">First-time self-onboard flow</t>
  </si>
  <si>
    <t xml:space="preserve">New user</t>
  </si>
  <si>
    <t xml:space="preserve">1. Complete onboarding/self-onboard steps</t>
  </si>
  <si>
    <t xml:space="preserve">New profile</t>
  </si>
  <si>
    <t xml:space="preserve">Profile created; routed to Home; no duplicate investor row</t>
  </si>
  <si>
    <t xml:space="preserve">AUTH-007</t>
  </si>
  <si>
    <t xml:space="preserve">Biometric enrolment screen</t>
  </si>
  <si>
    <t xml:space="preserve">Device has biometrics</t>
  </si>
  <si>
    <t xml:space="preserve">1. Go to setup biometric
2. Enrol</t>
  </si>
  <si>
    <t xml:space="preserve">Biometric enabled; stored securely; toggle reflects state</t>
  </si>
  <si>
    <t xml:space="preserve">App lock triggers on resume after background/idle</t>
  </si>
  <si>
    <t xml:space="preserve">App lock enabled</t>
  </si>
  <si>
    <t xml:space="preserve">1. Background app / wait idle
2. Reopen</t>
  </si>
  <si>
    <t xml:space="preserve">Lock screen shown; unlock via biometric/PIN; content hidden until unlock</t>
  </si>
  <si>
    <t xml:space="preserve">AUTH-009</t>
  </si>
  <si>
    <t xml:space="preserve">Web session idle expiry signs out</t>
  </si>
  <si>
    <t xml:space="preserve">Web build, logged in</t>
  </si>
  <si>
    <t xml:space="preserve">1. Leave idle past timeout
2. Return</t>
  </si>
  <si>
    <t xml:space="preserve">Session expired → signed out + web session cleared; redirected to auth</t>
  </si>
  <si>
    <t xml:space="preserve">AUTH-010</t>
  </si>
  <si>
    <t xml:space="preserve">Sign out clears session and user-scoped caches</t>
  </si>
  <si>
    <t xml:space="preserve">Logged in</t>
  </si>
  <si>
    <t xml:space="preserve">1. Profile → Sign out</t>
  </si>
  <si>
    <t xml:space="preserve">Session ended; portfolio/projects/docs/notifications/gallery caches invalidated; demo/login screen shown</t>
  </si>
  <si>
    <t xml:space="preserve">AUTH-011</t>
  </si>
  <si>
    <t xml:space="preserve">Guided tour highlights correct widgets</t>
  </si>
  <si>
    <t xml:space="preserve">P2</t>
  </si>
  <si>
    <t xml:space="preserve">First login</t>
  </si>
  <si>
    <t xml:space="preserve">1. Trigger tour</t>
  </si>
  <si>
    <t xml:space="preserve">Tour overlay points at Portfolio card, Progress card, Quick stats, Projects grid via TourKeys; skippable</t>
  </si>
  <si>
    <t xml:space="preserve">AUTH-012</t>
  </si>
  <si>
    <t xml:space="preserve">Provider refetch on auth state change</t>
  </si>
  <si>
    <t xml:space="preserve">Was browsing demo, then sign in</t>
  </si>
  <si>
    <t xml:space="preserve">1. Sign in from demo browsing</t>
  </si>
  <si>
    <t xml:space="preserve">All user-scoped providers re-fetch real data; demo data fully replaced (no stale mix)</t>
  </si>
  <si>
    <t xml:space="preserve">HOME-001</t>
  </si>
  <si>
    <t xml:space="preserve">Portfolio summary card totals correct</t>
  </si>
  <si>
    <t xml:space="preserve">Logged in with allocations</t>
  </si>
  <si>
    <t xml:space="preserve">1. Open Home</t>
  </si>
  <si>
    <t xml:space="preserve">Investor with units</t>
  </si>
  <si>
    <t xml:space="preserve">Total value, invested, returns, active units match backing data; INR formatted</t>
  </si>
  <si>
    <t xml:space="preserve">HOME-002</t>
  </si>
  <si>
    <t xml:space="preserve">Contract Progress (single project) % = Month X of Y</t>
  </si>
  <si>
    <t xml:space="preserve">One project selected</t>
  </si>
  <si>
    <t xml:space="preserve">1. Select a project
2. View Contract Progress card</t>
  </si>
  <si>
    <t xml:space="preserve">launch_year set</t>
  </si>
  <si>
    <t xml:space="preserve">Percent = months elapsed / total months (e.g. 9/60 = 15%); bar fill matches the % and the 'Month X of Y' label</t>
  </si>
  <si>
    <t xml:space="preserve">HOME-003</t>
  </si>
  <si>
    <t xml:space="preserve">Contract Progress (all projects) each mini bar in sync</t>
  </si>
  <si>
    <t xml:space="preserve">≥2 projects, 'All Projects'</t>
  </si>
  <si>
    <t xml:space="preserve">1. Clear selection
2. View stacked progress bars</t>
  </si>
  <si>
    <t xml:space="preserve">Multiple projects</t>
  </si>
  <si>
    <t xml:space="preserve">Each row's %, bar fill and 'Month X of Y' agree; no 0% where months have elapsed</t>
  </si>
  <si>
    <t xml:space="preserve">HOME-004</t>
  </si>
  <si>
    <t xml:space="preserve">Project selector rescopes portfolio + progress</t>
  </si>
  <si>
    <t xml:space="preserve">≥2 projects</t>
  </si>
  <si>
    <t xml:space="preserve">1. Pick one project in selector</t>
  </si>
  <si>
    <t xml:space="preserve">Totals + progress filter to that project; greeting/name unchanged</t>
  </si>
  <si>
    <t xml:space="preserve">HOME-005</t>
  </si>
  <si>
    <t xml:space="preserve">Long investor name does not overflow greeting</t>
  </si>
  <si>
    <t xml:space="preserve">Investor with long multi-word name</t>
  </si>
  <si>
    <t xml:space="preserve">'Test Person Test Last'</t>
  </si>
  <si>
    <t xml:space="preserve">Only first name shown in greeting; selector pill not pushed off-screen</t>
  </si>
  <si>
    <t xml:space="preserve">HOME-006</t>
  </si>
  <si>
    <t xml:space="preserve">Pending project shows on-hold messaging</t>
  </si>
  <si>
    <t xml:space="preserve">Project status contains 'pending'</t>
  </si>
  <si>
    <t xml:space="preserve">1. View its progress card</t>
  </si>
  <si>
    <t xml:space="preserve">Pending project</t>
  </si>
  <si>
    <t xml:space="preserve">Shows 'Awaiting payment clearance' + 'Payouts on hold' pill; not a misleading % </t>
  </si>
  <si>
    <t xml:space="preserve">HOME-007</t>
  </si>
  <si>
    <t xml:space="preserve">Empty state when no projects</t>
  </si>
  <si>
    <t xml:space="preserve">Logged in, zero allocations</t>
  </si>
  <si>
    <t xml:space="preserve">No units</t>
  </si>
  <si>
    <t xml:space="preserve">Actionable 'No projects yet — allocations appear once they sync'; NOT an infinite spinner</t>
  </si>
  <si>
    <t xml:space="preserve">HOME-008</t>
  </si>
  <si>
    <t xml:space="preserve">Cold-start loading skeleton then resolves</t>
  </si>
  <si>
    <t xml:space="preserve">Fresh launch</t>
  </si>
  <si>
    <t xml:space="preserve">1. Launch app</t>
  </si>
  <si>
    <t xml:space="preserve">Skeleton shows briefly, then real data; skeleton never persists indefinitely</t>
  </si>
  <si>
    <t xml:space="preserve">HOME-009</t>
  </si>
  <si>
    <t xml:space="preserve">Quick stats row values correct</t>
  </si>
  <si>
    <t xml:space="preserve">1. View quick stats</t>
  </si>
  <si>
    <t xml:space="preserve">Active/Earned/Pending values match portfolio summary</t>
  </si>
  <si>
    <t xml:space="preserve">HOME-010</t>
  </si>
  <si>
    <t xml:space="preserve">Demo banner + Sample badges (unauthenticated)</t>
  </si>
  <si>
    <t xml:space="preserve">1. Browse Home</t>
  </si>
  <si>
    <t xml:space="preserve">Demo banner visible; cards show 'Sample' badge</t>
  </si>
  <si>
    <t xml:space="preserve">HOME-011</t>
  </si>
  <si>
    <t xml:space="preserve">Refresh updates values</t>
  </si>
  <si>
    <t xml:space="preserve">1. Pull to refresh / re-enter</t>
  </si>
  <si>
    <t xml:space="preserve">Latest data fetched; UI updates without restart</t>
  </si>
  <si>
    <t xml:space="preserve">HOME-012</t>
  </si>
  <si>
    <t xml:space="preserve">Error fallback when portfolio fails with no cache</t>
  </si>
  <si>
    <t xml:space="preserve">Force network failure, no cache</t>
  </si>
  <si>
    <t xml:space="preserve">1. Open Home offline on first run</t>
  </si>
  <si>
    <t xml:space="preserve">Friendly 'couldn't load / Retry' card (not blank, not skeleton-forever); Retry re-fetches</t>
  </si>
  <si>
    <t xml:space="preserve">PROJ-001</t>
  </si>
  <si>
    <t xml:space="preserve">Projects list grid renders tiles</t>
  </si>
  <si>
    <t xml:space="preserve">Logged in w/ projects</t>
  </si>
  <si>
    <t xml:space="preserve">1. Go to Projects tab</t>
  </si>
  <si>
    <t xml:space="preserve">2-col grid; each tile: hero image, status pill, tier badge, units, invested, progress bar, next payout</t>
  </si>
  <si>
    <t xml:space="preserve">PROJ-002</t>
  </si>
  <si>
    <t xml:space="preserve">Zero allocations</t>
  </si>
  <si>
    <t xml:space="preserve">1. Open Projects</t>
  </si>
  <si>
    <t xml:space="preserve">'No projects yet.' shown; no spinner-forever</t>
  </si>
  <si>
    <t xml:space="preserve">PROJ-003</t>
  </si>
  <si>
    <t xml:space="preserve">Error fallback on list fetch failure</t>
  </si>
  <si>
    <t xml:space="preserve">Force failure, no cache</t>
  </si>
  <si>
    <t xml:space="preserve">Friendly Retry card; tapping Retry re-queries projectsProvider</t>
  </si>
  <si>
    <t xml:space="preserve">PROJ-004</t>
  </si>
  <si>
    <t xml:space="preserve">Project detail loads full tree</t>
  </si>
  <si>
    <t xml:space="preserve">Tap a project</t>
  </si>
  <si>
    <t xml:space="preserve">1. Open a project tile</t>
  </si>
  <si>
    <t xml:space="preserve">Header, status, contract progress, phase timeline, monthly updates, allocation, documents row render</t>
  </si>
  <si>
    <t xml:space="preserve">PROJ-005</t>
  </si>
  <si>
    <t xml:space="preserve">Project not found handling</t>
  </si>
  <si>
    <t xml:space="preserve">Invalid/removed project id</t>
  </si>
  <si>
    <t xml:space="preserve">1. Deep-link bad id</t>
  </si>
  <si>
    <t xml:space="preserve">bad-uuid</t>
  </si>
  <si>
    <t xml:space="preserve">'Project not found' message; no crash</t>
  </si>
  <si>
    <t xml:space="preserve">PROJ-006</t>
  </si>
  <si>
    <t xml:space="preserve">Detail error fallback (not infinite spinner)</t>
  </si>
  <si>
    <t xml:space="preserve">Force detail fetch error</t>
  </si>
  <si>
    <t xml:space="preserve">1. Open detail offline</t>
  </si>
  <si>
    <t xml:space="preserve">Friendly Retry card with back access; NOT a permanent spinner</t>
  </si>
  <si>
    <t xml:space="preserve">PROJ-007</t>
  </si>
  <si>
    <t xml:space="preserve">Phase timeline reflects done/current/pending</t>
  </si>
  <si>
    <t xml:space="preserve">Project with phases</t>
  </si>
  <si>
    <t xml:space="preserve">1. View timeline</t>
  </si>
  <si>
    <t xml:space="preserve">Seeded phases</t>
  </si>
  <si>
    <t xml:space="preserve">Correct states + started/completed dates; falls back to schedule from start date if no rows</t>
  </si>
  <si>
    <t xml:space="preserve">PROJ-008</t>
  </si>
  <si>
    <t xml:space="preserve">Monthly updates list</t>
  </si>
  <si>
    <t xml:space="preserve">Project with updates</t>
  </si>
  <si>
    <t xml:space="preserve">1. Scroll updates</t>
  </si>
  <si>
    <t xml:space="preserve">Updates render newest first; empty-state copy when none</t>
  </si>
  <si>
    <t xml:space="preserve">PROJ-009</t>
  </si>
  <si>
    <t xml:space="preserve">Allocation shows summed issued units</t>
  </si>
  <si>
    <t xml:space="preserve">Investor with ≥2 allocation rows same project</t>
  </si>
  <si>
    <t xml:space="preserve">1. View units</t>
  </si>
  <si>
    <t xml:space="preserve">Multiple unit rows</t>
  </si>
  <si>
    <t xml:space="preserve">Units summed (not first only); matches financials</t>
  </si>
  <si>
    <t xml:space="preserve">PROJ-010</t>
  </si>
  <si>
    <t xml:space="preserve">Tile progress == detail progress</t>
  </si>
  <si>
    <t xml:space="preserve">Any project</t>
  </si>
  <si>
    <t xml:space="preserve">1. Compare tile bar vs detail</t>
  </si>
  <si>
    <t xml:space="preserve">Same % on both surfaces</t>
  </si>
  <si>
    <t xml:space="preserve">PROJ-011</t>
  </si>
  <si>
    <t xml:space="preserve">Location screen never exposes raw coordinates</t>
  </si>
  <si>
    <t xml:space="preserve">1. Open location/area</t>
  </si>
  <si>
    <t xml:space="preserve">Approx area only; no latitude/longitude in payload (projects_public view)</t>
  </si>
  <si>
    <t xml:space="preserve">PROJ-012</t>
  </si>
  <si>
    <t xml:space="preserve">Project photos screen</t>
  </si>
  <si>
    <t xml:space="preserve">Project w/ gallery</t>
  </si>
  <si>
    <t xml:space="preserve">1. Open photos</t>
  </si>
  <si>
    <t xml:space="preserve">Photos load via signed URLs; graceful empty/error</t>
  </si>
  <si>
    <t xml:space="preserve">FIN-001</t>
  </si>
  <si>
    <t xml:space="preserve">Portfolio summary cards render</t>
  </si>
  <si>
    <t xml:space="preserve">1. Open Financials</t>
  </si>
  <si>
    <t xml:space="preserve">Total invested, returns, FY-earned cards correct + INR formatted</t>
  </si>
  <si>
    <t xml:space="preserve">FIN-002</t>
  </si>
  <si>
    <t xml:space="preserve">Payouts ledger lists transactions</t>
  </si>
  <si>
    <t xml:space="preserve">Investor with payouts</t>
  </si>
  <si>
    <t xml:space="preserve">1. Scroll ledger</t>
  </si>
  <si>
    <t xml:space="preserve">Transactions listed newest first; processed vs pending distinguished</t>
  </si>
  <si>
    <t xml:space="preserve">FIN-003</t>
  </si>
  <si>
    <t xml:space="preserve">Empty ledger state</t>
  </si>
  <si>
    <t xml:space="preserve">No payouts</t>
  </si>
  <si>
    <t xml:space="preserve">1. Open ledger</t>
  </si>
  <si>
    <t xml:space="preserve">'No transactions yet' empty state (not blank)</t>
  </si>
  <si>
    <t xml:space="preserve">FIN-004</t>
  </si>
  <si>
    <t xml:space="preserve">Portfolio cards error fallback</t>
  </si>
  <si>
    <t xml:space="preserve">Force failure</t>
  </si>
  <si>
    <t xml:space="preserve">1. Open offline</t>
  </si>
  <si>
    <t xml:space="preserve">Friendly Retry card (NOT a silent skeleton); Retry re-fetches scopedPortfolio</t>
  </si>
  <si>
    <t xml:space="preserve">FIN-005</t>
  </si>
  <si>
    <t xml:space="preserve">Payouts error fallback</t>
  </si>
  <si>
    <t xml:space="preserve">Friendly Retry card for ledger; Retry re-fetches payouts</t>
  </si>
  <si>
    <t xml:space="preserve">FY window calculation (Apr–Mar)</t>
  </si>
  <si>
    <t xml:space="preserve">Payouts across FY boundary</t>
  </si>
  <si>
    <t xml:space="preserve">1. Check FY-earned total</t>
  </si>
  <si>
    <t xml:space="preserve">Payouts before/after Apr 1</t>
  </si>
  <si>
    <t xml:space="preserve">Only processed payouts after FY start counted</t>
  </si>
  <si>
    <t xml:space="preserve">Backend</t>
  </si>
  <si>
    <t xml:space="preserve">Scope by selected project</t>
  </si>
  <si>
    <t xml:space="preserve">1. Select project on Home
2. Open Financials</t>
  </si>
  <si>
    <t xml:space="preserve">Totals + ledger scoped to selection</t>
  </si>
  <si>
    <t xml:space="preserve">FIN-008</t>
  </si>
  <si>
    <t xml:space="preserve">Demo financials when unauthenticated</t>
  </si>
  <si>
    <t xml:space="preserve">1. Browse Financials</t>
  </si>
  <si>
    <t xml:space="preserve">Demo payouts/summary with Sample badges</t>
  </si>
  <si>
    <t xml:space="preserve">FIN-009</t>
  </si>
  <si>
    <t xml:space="preserve">Amounts never show raw/incorrect rounding</t>
  </si>
  <si>
    <t xml:space="preserve">Various amounts</t>
  </si>
  <si>
    <t xml:space="preserve">1. Inspect formatting</t>
  </si>
  <si>
    <t xml:space="preserve">₹ values</t>
  </si>
  <si>
    <t xml:space="preserve">Consistent INR formatting; no floating-point artifacts</t>
  </si>
  <si>
    <t xml:space="preserve">DOC-001</t>
  </si>
  <si>
    <t xml:space="preserve">Three sections render (Common / My Projects / My Documents)</t>
  </si>
  <si>
    <t xml:space="preserve">1. Open Documents</t>
  </si>
  <si>
    <t xml:space="preserve">Section headers always show; counts per section correct</t>
  </si>
  <si>
    <t xml:space="preserve">DOC-002</t>
  </si>
  <si>
    <t xml:space="preserve">Common docs visible to every authenticated investor</t>
  </si>
  <si>
    <t xml:space="preserve">Common doc exists</t>
  </si>
  <si>
    <t xml:space="preserve">1. View Common section</t>
  </si>
  <si>
    <t xml:space="preserve">common/* doc</t>
  </si>
  <si>
    <t xml:space="preserve">Common docs listed for any logged-in user</t>
  </si>
  <si>
    <t xml:space="preserve">RLS</t>
  </si>
  <si>
    <t xml:space="preserve">DOC-003</t>
  </si>
  <si>
    <t xml:space="preserve">Project docs visible only with allocation</t>
  </si>
  <si>
    <t xml:space="preserve">Investor A has units, B does not</t>
  </si>
  <si>
    <t xml:space="preserve">1. Compare both users' project docs</t>
  </si>
  <si>
    <t xml:space="preserve">project_documents rows</t>
  </si>
  <si>
    <t xml:space="preserve">A sees the project's docs; B does not</t>
  </si>
  <si>
    <t xml:space="preserve">DOC-004</t>
  </si>
  <si>
    <t xml:space="preserve">Personal docs visible to owner only</t>
  </si>
  <si>
    <t xml:space="preserve">Investor-tier doc for A</t>
  </si>
  <si>
    <t xml:space="preserve">1. Login as B</t>
  </si>
  <si>
    <t xml:space="preserve">investor/&lt;A&gt;/* doc</t>
  </si>
  <si>
    <t xml:space="preserve">B cannot see or open A's personal doc</t>
  </si>
  <si>
    <t xml:space="preserve">DOC-005</t>
  </si>
  <si>
    <t xml:space="preserve">Open document with uploaded file</t>
  </si>
  <si>
    <t xml:space="preserve">Doc row + file in arl-documents</t>
  </si>
  <si>
    <t xml:space="preserve">1. Tap a document</t>
  </si>
  <si>
    <t xml:space="preserve">Real uploaded PDF</t>
  </si>
  <si>
    <t xml:space="preserve">Opens in in-app viewer; screenshot prevention active</t>
  </si>
  <si>
    <t xml:space="preserve">DOC-006</t>
  </si>
  <si>
    <t xml:space="preserve">Missing-file document shows 'Not available yet'</t>
  </si>
  <si>
    <t xml:space="preserve">Doc row exists, file NOT uploaded</t>
  </si>
  <si>
    <t xml:space="preserve">1. Tap that document</t>
  </si>
  <si>
    <t xml:space="preserve">Row w/ empty signed URL</t>
  </si>
  <si>
    <t xml:space="preserve">Row dimmed + 'Not available yet' + clock icon; tap shows friendly message (NOT broken /storage/v1null tab)</t>
  </si>
  <si>
    <t xml:space="preserve">DOC-007</t>
  </si>
  <si>
    <t xml:space="preserve">Personal docs error fallback</t>
  </si>
  <si>
    <t xml:space="preserve">Friendly Retry card for personal section; Retry re-fetches</t>
  </si>
  <si>
    <t xml:space="preserve">DOC-008</t>
  </si>
  <si>
    <t xml:space="preserve">Empty states per section + overall</t>
  </si>
  <si>
    <t xml:space="preserve">Some sections empty</t>
  </si>
  <si>
    <t xml:space="preserve">1. View</t>
  </si>
  <si>
    <t xml:space="preserve">'No documents in this section yet' per empty accordion; overall 'No documents yet' when all empty</t>
  </si>
  <si>
    <t xml:space="preserve">DOC-009</t>
  </si>
  <si>
    <t xml:space="preserve">Offline cached list renders</t>
  </si>
  <si>
    <t xml:space="preserve">Previously loaded, now offline</t>
  </si>
  <si>
    <t xml:space="preserve">1. Reopen offline</t>
  </si>
  <si>
    <t xml:space="preserve">Last-known list shows from Hive; open may show 'not available' if URL expired</t>
  </si>
  <si>
    <t xml:space="preserve">DOC-010</t>
  </si>
  <si>
    <t xml:space="preserve">Signed URL expiry refresh</t>
  </si>
  <si>
    <t xml:space="preserve">Wait &gt; URL TTL</t>
  </si>
  <si>
    <t xml:space="preserve">1. Reopen and tap doc</t>
  </si>
  <si>
    <t xml:space="preserve">Fresh signed URL generated; opens (no stale-URL failure)</t>
  </si>
  <si>
    <t xml:space="preserve">E2E: Zoho attachment → appears in app</t>
  </si>
  <si>
    <t xml:space="preserve">documents-sync deployed</t>
  </si>
  <si>
    <t xml:space="preserve">1. Attach PDF to Zoho LLP/Contact
2. Run sync / wait for cron
3. Refresh app</t>
  </si>
  <si>
    <t xml:space="preserve">Zoho attachment</t>
  </si>
  <si>
    <t xml:space="preserve">File appears in correct section and opens</t>
  </si>
  <si>
    <t xml:space="preserve">DOC-012</t>
  </si>
  <si>
    <t xml:space="preserve">Viewer back navigation</t>
  </si>
  <si>
    <t xml:space="preserve">In viewer</t>
  </si>
  <si>
    <t xml:space="preserve">1. Tap back</t>
  </si>
  <si>
    <t xml:space="preserve">Returns to Documents list; no stuck state</t>
  </si>
  <si>
    <t xml:space="preserve">ACT-001</t>
  </si>
  <si>
    <t xml:space="preserve">Activity</t>
  </si>
  <si>
    <t xml:space="preserve">Notifications list renders</t>
  </si>
  <si>
    <t xml:space="preserve">Investor with notifications</t>
  </si>
  <si>
    <t xml:space="preserve">1. Open Activity</t>
  </si>
  <si>
    <t xml:space="preserve">Notifications listed newest first; types (document/photo/payout/life-event) render correctly</t>
  </si>
  <si>
    <t xml:space="preserve">ACT-002</t>
  </si>
  <si>
    <t xml:space="preserve">Unread count badge accurate</t>
  </si>
  <si>
    <t xml:space="preserve">Some unread</t>
  </si>
  <si>
    <t xml:space="preserve">1. Check bottom nav / header badge</t>
  </si>
  <si>
    <t xml:space="preserve">Badge matches unread count; 0 when none</t>
  </si>
  <si>
    <t xml:space="preserve">ACT-003</t>
  </si>
  <si>
    <t xml:space="preserve">Mark all read</t>
  </si>
  <si>
    <t xml:space="preserve">Unread exist</t>
  </si>
  <si>
    <t xml:space="preserve">1. Tap mark all read</t>
  </si>
  <si>
    <t xml:space="preserve">All become read; badge clears; persists after refresh</t>
  </si>
  <si>
    <t xml:space="preserve">ACT-004</t>
  </si>
  <si>
    <t xml:space="preserve">Empty + error states</t>
  </si>
  <si>
    <t xml:space="preserve">None / forced error</t>
  </si>
  <si>
    <t xml:space="preserve">'You're all caught up' when empty; AsyncValueWidget Retry on error</t>
  </si>
  <si>
    <t xml:space="preserve">ACT-005</t>
  </si>
  <si>
    <t xml:space="preserve">Notification deep-link</t>
  </si>
  <si>
    <t xml:space="preserve">Notification with target</t>
  </si>
  <si>
    <t xml:space="preserve">1. Tap a notification</t>
  </si>
  <si>
    <t xml:space="preserve">Routes to relevant screen (e.g. project, document)</t>
  </si>
  <si>
    <t xml:space="preserve">GAL-001</t>
  </si>
  <si>
    <t xml:space="preserve">Gallery</t>
  </si>
  <si>
    <t xml:space="preserve">Grid grouped by date with signed URLs</t>
  </si>
  <si>
    <t xml:space="preserve">Project has photos</t>
  </si>
  <si>
    <t xml:space="preserve">1. Open Gallery</t>
  </si>
  <si>
    <t xml:space="preserve">Photos grouped by date; thumbnails load via signed URLs</t>
  </si>
  <si>
    <t xml:space="preserve">GAL-002</t>
  </si>
  <si>
    <t xml:space="preserve">No photos / forced error</t>
  </si>
  <si>
    <t xml:space="preserve">Empty-state copy; Retry card on error</t>
  </si>
  <si>
    <t xml:space="preserve">GAL-003</t>
  </si>
  <si>
    <t xml:space="preserve">Lightbox / full image</t>
  </si>
  <si>
    <t xml:space="preserve">Photos present</t>
  </si>
  <si>
    <t xml:space="preserve">1. Tap a photo</t>
  </si>
  <si>
    <t xml:space="preserve">Full image opens; swipe; close</t>
  </si>
  <si>
    <t xml:space="preserve">GAL-004</t>
  </si>
  <si>
    <t xml:space="preserve">New-photo notification on sync</t>
  </si>
  <si>
    <t xml:space="preserve">gallery-sync adds photos</t>
  </si>
  <si>
    <t xml:space="preserve">1. Run sync</t>
  </si>
  <si>
    <t xml:space="preserve">Investors in project get 'New farm photos' notification</t>
  </si>
  <si>
    <t xml:space="preserve">EXP-001</t>
  </si>
  <si>
    <t xml:space="preserve">Explore</t>
  </si>
  <si>
    <t xml:space="preserve">Marketplace gated 'Coming Soon' when flag off</t>
  </si>
  <si>
    <t xml:space="preserve">_marketplaceEnabled=false</t>
  </si>
  <si>
    <t xml:space="preserve">1. Open Explore</t>
  </si>
  <si>
    <t xml:space="preserve">'Coming Soon' overlay shown regardless of data</t>
  </si>
  <si>
    <t xml:space="preserve">EXP-002</t>
  </si>
  <si>
    <t xml:space="preserve">Listings grid when enabled</t>
  </si>
  <si>
    <t xml:space="preserve">Flag on, listings exist</t>
  </si>
  <si>
    <t xml:space="preserve">is_listed_in_marketplace=true</t>
  </si>
  <si>
    <t xml:space="preserve">Grid of marketplace projects; sorted by marketplace_sort_order</t>
  </si>
  <si>
    <t xml:space="preserve">EXP-003</t>
  </si>
  <si>
    <t xml:space="preserve">Filters (Open / Coming Soon) + empty + error</t>
  </si>
  <si>
    <t xml:space="preserve">Flag on</t>
  </si>
  <si>
    <t xml:space="preserve">1. Toggle filters</t>
  </si>
  <si>
    <t xml:space="preserve">Filtered correctly; empty-state per filter; Retry card on error</t>
  </si>
  <si>
    <t xml:space="preserve">EXP-004</t>
  </si>
  <si>
    <t xml:space="preserve">Explore detail screen</t>
  </si>
  <si>
    <t xml:space="preserve">A listing</t>
  </si>
  <si>
    <t xml:space="preserve">1. Open a listing</t>
  </si>
  <si>
    <t xml:space="preserve">Detail renders; CTA behaves</t>
  </si>
  <si>
    <t xml:space="preserve">EXIT-001</t>
  </si>
  <si>
    <t xml:space="preserve">Exit</t>
  </si>
  <si>
    <t xml:space="preserve">Eligibility screen renders</t>
  </si>
  <si>
    <t xml:space="preserve">1. Open Exit</t>
  </si>
  <si>
    <t xml:space="preserve">Lock-in, earliest unit, eligibility grid shown; placeholders ('—') when data absent, not broken</t>
  </si>
  <si>
    <t xml:space="preserve">Pending exit request shown</t>
  </si>
  <si>
    <t xml:space="preserve">Pending exit exists</t>
  </si>
  <si>
    <t xml:space="preserve">exit_requests row</t>
  </si>
  <si>
    <t xml:space="preserve">Pending state surfaced clearly</t>
  </si>
  <si>
    <t xml:space="preserve">EXIT-003</t>
  </si>
  <si>
    <t xml:space="preserve">Exit error fallback</t>
  </si>
  <si>
    <t xml:space="preserve">Eligibility shows neutral placeholders; no raw error/crash</t>
  </si>
  <si>
    <t xml:space="preserve">Exit-settled notification</t>
  </si>
  <si>
    <t xml:space="preserve">Exit settled in backend</t>
  </si>
  <si>
    <t xml:space="preserve">1. Settle exit
2. Check Activity</t>
  </si>
  <si>
    <t xml:space="preserve">Profile header shows name/email</t>
  </si>
  <si>
    <t xml:space="preserve">1. Open Profile</t>
  </si>
  <si>
    <t xml:space="preserve">Real name/email; sensible fallback while loading (no flash of wrong name)</t>
  </si>
  <si>
    <t xml:space="preserve">KYC screen status + resubmission</t>
  </si>
  <si>
    <t xml:space="preserve">Investor KYC record</t>
  </si>
  <si>
    <t xml:space="preserve">1. Open KYC</t>
  </si>
  <si>
    <t xml:space="preserve">Status correct; resubmission flow works; notification on resubmit</t>
  </si>
  <si>
    <t xml:space="preserve">PROF-003</t>
  </si>
  <si>
    <t xml:space="preserve">Bank details view + change request</t>
  </si>
  <si>
    <t xml:space="preserve">1. Open Bank details
2. Submit change</t>
  </si>
  <si>
    <t xml:space="preserve">New bank info</t>
  </si>
  <si>
    <t xml:space="preserve">bank-change-request edge fn called (NOT direct DB write); confirmation + notify-bank-update</t>
  </si>
  <si>
    <t xml:space="preserve">PROF-004</t>
  </si>
  <si>
    <t xml:space="preserve">Bank/KYC screens have error state</t>
  </si>
  <si>
    <t xml:space="preserve">Friendly error state (not blank/crash)</t>
  </si>
  <si>
    <t xml:space="preserve">SET-001</t>
  </si>
  <si>
    <t xml:space="preserve">Security screen: app lock + biometric toggles</t>
  </si>
  <si>
    <t xml:space="preserve">1. Toggle app lock / biometric</t>
  </si>
  <si>
    <t xml:space="preserve">Settings persist (user_settings); reflected on next launch</t>
  </si>
  <si>
    <t xml:space="preserve">SET-002</t>
  </si>
  <si>
    <t xml:space="preserve">Login history (login_events)</t>
  </si>
  <si>
    <t xml:space="preserve">Prior logins</t>
  </si>
  <si>
    <t xml:space="preserve">1. Open security → history</t>
  </si>
  <si>
    <t xml:space="preserve">Recent logins listed; inner error shows graceful state</t>
  </si>
  <si>
    <t xml:space="preserve">SET-003</t>
  </si>
  <si>
    <t xml:space="preserve">Notification preferences</t>
  </si>
  <si>
    <t xml:space="preserve">1. Change prefs</t>
  </si>
  <si>
    <t xml:space="preserve">Saved to user_settings; respected by app</t>
  </si>
  <si>
    <t xml:space="preserve">Support screen WhatsApp CTA</t>
  </si>
  <si>
    <t xml:space="preserve">1. Open Support
2. Tap WhatsApp</t>
  </si>
  <si>
    <t xml:space="preserve">Opens WhatsApp with prefilled context; graceful if app absent</t>
  </si>
  <si>
    <t xml:space="preserve">SUP-002</t>
  </si>
  <si>
    <t xml:space="preserve">1. New ticket
2. Submit</t>
  </si>
  <si>
    <t xml:space="preserve">Subject+body</t>
  </si>
  <si>
    <t xml:space="preserve">create-ticket edge fn (JWT) creates ticket; appears in list; first-message notification</t>
  </si>
  <si>
    <t xml:space="preserve">Reply to ticket</t>
  </si>
  <si>
    <t xml:space="preserve">1. Open ticket
2. Reply</t>
  </si>
  <si>
    <t xml:space="preserve">Message</t>
  </si>
  <si>
    <t xml:space="preserve">reply-ticket edge fn adds message; thread updates</t>
  </si>
  <si>
    <t xml:space="preserve">Ticket detail thread renders</t>
  </si>
  <si>
    <t xml:space="preserve">Ticket w/ messages</t>
  </si>
  <si>
    <t xml:space="preserve">1. Open ticket</t>
  </si>
  <si>
    <t xml:space="preserve">Messages in order; statuses correct</t>
  </si>
  <si>
    <t xml:space="preserve">SUP-005</t>
  </si>
  <si>
    <t xml:space="preserve">Consultation request</t>
  </si>
  <si>
    <t xml:space="preserve">1. Submit consultation request</t>
  </si>
  <si>
    <t xml:space="preserve">notify-consultation-request fires (Slack/email); confirmation to user</t>
  </si>
  <si>
    <t xml:space="preserve">XC-001</t>
  </si>
  <si>
    <t xml:space="preserve">Resilience</t>
  </si>
  <si>
    <t xml:space="preserve">Global error boundary catches widget crash</t>
  </si>
  <si>
    <t xml:space="preserve">1. Force a widget build exception</t>
  </si>
  <si>
    <t xml:space="preserve">Branded 'Something went wrong / Try again' card shown (NOT red Flutter error screen); Sentry captures it</t>
  </si>
  <si>
    <t xml:space="preserve">Offline</t>
  </si>
  <si>
    <t xml:space="preserve">Hive cache serves data offline</t>
  </si>
  <si>
    <t xml:space="preserve">Data loaded, then offline</t>
  </si>
  <si>
    <t xml:space="preserve">1. Go offline
2. Browse</t>
  </si>
  <si>
    <t xml:space="preserve">Last-known data renders across tabs; no crashes; sync badge reflects state</t>
  </si>
  <si>
    <t xml:space="preserve">XC-003</t>
  </si>
  <si>
    <t xml:space="preserve">Navigation</t>
  </si>
  <si>
    <t xml:space="preserve">GoRouter back / bottom-nav behavior</t>
  </si>
  <si>
    <t xml:space="preserve">1. Navigate deep then back</t>
  </si>
  <si>
    <t xml:space="preserve">Back returns expected screen; bottom-nav roots don't stack incorrectly</t>
  </si>
  <si>
    <t xml:space="preserve">XC-004</t>
  </si>
  <si>
    <t xml:space="preserve">Data isolation</t>
  </si>
  <si>
    <t xml:space="preserve">Demo vs real data never mix</t>
  </si>
  <si>
    <t xml:space="preserve">Sign in from demo browse</t>
  </si>
  <si>
    <t xml:space="preserve">1. Transition demo→auth</t>
  </si>
  <si>
    <t xml:space="preserve">No residual demo rows after auth; no real data leaks in demo mode</t>
  </si>
  <si>
    <t xml:space="preserve">XC-005</t>
  </si>
  <si>
    <t xml:space="preserve">Doc viewer screenshot prevention</t>
  </si>
  <si>
    <t xml:space="preserve">Open a document</t>
  </si>
  <si>
    <t xml:space="preserve">1. Attempt screenshot / screen record</t>
  </si>
  <si>
    <t xml:space="preserve">Android FLAG_SECURE blocks; iOS blurs during capture/background</t>
  </si>
  <si>
    <t xml:space="preserve">XC-006</t>
  </si>
  <si>
    <t xml:space="preserve">Gating</t>
  </si>
  <si>
    <t xml:space="preserve">Force-update screen below min version</t>
  </si>
  <si>
    <t xml:space="preserve">App version &lt; min</t>
  </si>
  <si>
    <t xml:space="preserve">1. Launch</t>
  </si>
  <si>
    <t xml:space="preserve">latest-app-version min</t>
  </si>
  <si>
    <t xml:space="preserve">Force-update gate shown; app blocked until updated</t>
  </si>
  <si>
    <t xml:space="preserve">XC-007</t>
  </si>
  <si>
    <t xml:space="preserve">Maintenance screen when enabled</t>
  </si>
  <si>
    <t xml:space="preserve">Maintenance flag on</t>
  </si>
  <si>
    <t xml:space="preserve">Maintenance screen shown; recovers when flag cleared</t>
  </si>
  <si>
    <t xml:space="preserve">XC-008</t>
  </si>
  <si>
    <t xml:space="preserve">Performance</t>
  </si>
  <si>
    <t xml:space="preserve">Read-heavy lists scroll smoothly</t>
  </si>
  <si>
    <t xml:space="preserve">Large projects/payouts/docs lists</t>
  </si>
  <si>
    <t xml:space="preserve">1. Fast-scroll</t>
  </si>
  <si>
    <t xml:space="preserve">Many rows</t>
  </si>
  <si>
    <t xml:space="preserve">No jank/ANR; images lazy-load; memory stable</t>
  </si>
  <si>
    <t xml:space="preserve">XC-009</t>
  </si>
  <si>
    <t xml:space="preserve">Accessibility</t>
  </si>
  <si>
    <t xml:space="preserve">Font scaling &amp; contrast</t>
  </si>
  <si>
    <t xml:space="preserve">OS large font</t>
  </si>
  <si>
    <t xml:space="preserve">1. Increase system font</t>
  </si>
  <si>
    <t xml:space="preserve">Layouts adapt without clipping; brand colors meet contrast</t>
  </si>
  <si>
    <t xml:space="preserve">XC-010</t>
  </si>
  <si>
    <t xml:space="preserve">Formatting</t>
  </si>
  <si>
    <t xml:space="preserve">INR currency &amp; dates consistent</t>
  </si>
  <si>
    <t xml:space="preserve">1. Inspect amounts/dates app-wide</t>
  </si>
  <si>
    <t xml:space="preserve">Consistent ₹ formatting and date formats; no locale glitches</t>
  </si>
  <si>
    <t xml:space="preserve">XC-011</t>
  </si>
  <si>
    <t xml:space="preserve">Web parity</t>
  </si>
  <si>
    <t xml:space="preserve">Responsive web build</t>
  </si>
  <si>
    <t xml:space="preserve">Web target</t>
  </si>
  <si>
    <t xml:space="preserve">1. Open on desktop browser</t>
  </si>
  <si>
    <t xml:space="preserve">Layout responsive; mouse/trackpad scroll works; parity with mobile design</t>
  </si>
  <si>
    <t xml:space="preserve">XC-012</t>
  </si>
  <si>
    <t xml:space="preserve">Observability</t>
  </si>
  <si>
    <t xml:space="preserve">Sentry captures errors without PII</t>
  </si>
  <si>
    <t xml:space="preserve">Sentry configured</t>
  </si>
  <si>
    <t xml:space="preserve">1. Trigger handled error</t>
  </si>
  <si>
    <t xml:space="preserve">Error reported; PII scrubbed (PAN/Aadhaar/email redacted)</t>
  </si>
  <si>
    <t xml:space="preserve">BE-DB-001</t>
  </si>
  <si>
    <t xml:space="preserve">documents tiered read: common</t>
  </si>
  <si>
    <t xml:space="preserve">Any authenticated user</t>
  </si>
  <si>
    <t xml:space="preserve">1. SELECT from documents as user</t>
  </si>
  <si>
    <t xml:space="preserve">visibility=common</t>
  </si>
  <si>
    <t xml:space="preserve">Common rows returned to all authenticated users</t>
  </si>
  <si>
    <t xml:space="preserve">BE-DB-002</t>
  </si>
  <si>
    <t xml:space="preserve">documents tiered read: project</t>
  </si>
  <si>
    <t xml:space="preserve">User with/without allocation</t>
  </si>
  <si>
    <t xml:space="preserve">1. SELECT project-tier rows</t>
  </si>
  <si>
    <t xml:space="preserve">visibility=project</t>
  </si>
  <si>
    <t xml:space="preserve">Only users with non-zero units in project_id can read</t>
  </si>
  <si>
    <t xml:space="preserve">BE-DB-003</t>
  </si>
  <si>
    <t xml:space="preserve">documents tiered read: investor</t>
  </si>
  <si>
    <t xml:space="preserve">Owner vs other</t>
  </si>
  <si>
    <t xml:space="preserve">1. SELECT investor-tier rows</t>
  </si>
  <si>
    <t xml:space="preserve">visibility=investor</t>
  </si>
  <si>
    <t xml:space="preserve">Only investor_id = auth.uid() can read</t>
  </si>
  <si>
    <t xml:space="preserve">BE-DB-004</t>
  </si>
  <si>
    <t xml:space="preserve">project_documents read policy</t>
  </si>
  <si>
    <t xml:space="preserve">is_public / allocation</t>
  </si>
  <si>
    <t xml:space="preserve">1. SELECT project_documents</t>
  </si>
  <si>
    <t xml:space="preserve">is_public=true OR investor has non-zero, non-deleted units</t>
  </si>
  <si>
    <t xml:space="preserve">BE-DB-005</t>
  </si>
  <si>
    <t xml:space="preserve">projects_public view omits coordinates</t>
  </si>
  <si>
    <t xml:space="preserve">1. SELECT from projects_public</t>
  </si>
  <si>
    <t xml:space="preserve">No latitude/longitude columns exposed (S-002)</t>
  </si>
  <si>
    <t xml:space="preserve">BE-DB-006</t>
  </si>
  <si>
    <t xml:space="preserve">investor_units scoped to owner</t>
  </si>
  <si>
    <t xml:space="preserve">Two investors</t>
  </si>
  <si>
    <t xml:space="preserve">1. SELECT investor_units</t>
  </si>
  <si>
    <t xml:space="preserve">Each sees only own rows</t>
  </si>
  <si>
    <t xml:space="preserve">BE-DB-007</t>
  </si>
  <si>
    <t xml:space="preserve">portfolio_summary excludes demo + security invoker</t>
  </si>
  <si>
    <t xml:space="preserve">1. Query view</t>
  </si>
  <si>
    <t xml:space="preserve">Demo rows excluded; view runs as invoker (no privilege escalation)</t>
  </si>
  <si>
    <t xml:space="preserve">BE-DB-008</t>
  </si>
  <si>
    <t xml:space="preserve">Soft-deleted rows excluded</t>
  </si>
  <si>
    <t xml:space="preserve">deleted_at set</t>
  </si>
  <si>
    <t xml:space="preserve">1. SELECT affected tables</t>
  </si>
  <si>
    <t xml:space="preserve">deleted_at IS NOT NULL rows hidden from investor reads</t>
  </si>
  <si>
    <t xml:space="preserve">BE-DB-009</t>
  </si>
  <si>
    <t xml:space="preserve">Client cannot write protected tables</t>
  </si>
  <si>
    <t xml:space="preserve">Authenticated client</t>
  </si>
  <si>
    <t xml:space="preserve">1. Attempt INSERT/UPDATE via client</t>
  </si>
  <si>
    <t xml:space="preserve">Denied; writes only via edge functions (service role)</t>
  </si>
  <si>
    <t xml:space="preserve">BE-DB-010</t>
  </si>
  <si>
    <t xml:space="preserve">webhook_log allows 'documents_sync' source</t>
  </si>
  <si>
    <t xml:space="preserve">1. INSERT source='documents_sync'</t>
  </si>
  <si>
    <t xml:space="preserve">Accepted (constraint updated in 057); sync runs are logged</t>
  </si>
  <si>
    <t xml:space="preserve">BE-DB-011</t>
  </si>
  <si>
    <t xml:space="preserve">documents.storage_path prefix CHECK</t>
  </si>
  <si>
    <t xml:space="preserve">1. INSERT path 'documents/...'</t>
  </si>
  <si>
    <t xml:space="preserve">Rejected; must be common/ project/&lt;uuid&gt;/ investor/&lt;uuid&gt;/</t>
  </si>
  <si>
    <t xml:space="preserve">BE-DB-012</t>
  </si>
  <si>
    <t xml:space="preserve">investors.zoho_contact_id unique</t>
  </si>
  <si>
    <t xml:space="preserve">1. Insert duplicate zoho_contact_id</t>
  </si>
  <si>
    <t xml:space="preserve">Unique violation; no duplicate investor mapping</t>
  </si>
  <si>
    <t xml:space="preserve">BE-DB-013</t>
  </si>
  <si>
    <t xml:space="preserve">Anonymous cannot read protected data</t>
  </si>
  <si>
    <t xml:space="preserve">No JWT</t>
  </si>
  <si>
    <t xml:space="preserve">1. Query as anon</t>
  </si>
  <si>
    <t xml:space="preserve">RLS denies; only intended public/demo paths accessible</t>
  </si>
  <si>
    <t xml:space="preserve">BE-FN-001</t>
  </si>
  <si>
    <t xml:space="preserve">documents-sync rejects without shared secret</t>
  </si>
  <si>
    <t xml:space="preserve">Function deployed</t>
  </si>
  <si>
    <t xml:space="preserve">1. POST without x-arl-cron-secret</t>
  </si>
  <si>
    <t xml:space="preserve">401 unauthorized</t>
  </si>
  <si>
    <t xml:space="preserve">BE-FN-002</t>
  </si>
  <si>
    <t xml:space="preserve">documents-sync project docs path</t>
  </si>
  <si>
    <t xml:space="preserve">Zoho LLP w/ PDF attachment</t>
  </si>
  <si>
    <t xml:space="preserve">1. Invoke with secret</t>
  </si>
  <si>
    <t xml:space="preserve">LLP_Creation_Module attachment</t>
  </si>
  <si>
    <t xml:space="preserve">File uploaded to project/&lt;id&gt;/; row upserted in project_documents; notification sent</t>
  </si>
  <si>
    <t xml:space="preserve">BE-FN-003</t>
  </si>
  <si>
    <t xml:space="preserve">documents-sync personal docs path</t>
  </si>
  <si>
    <t xml:space="preserve">Contact w/ attachment + zoho_contact_id</t>
  </si>
  <si>
    <t xml:space="preserve">1. Invoke</t>
  </si>
  <si>
    <t xml:space="preserve">Contacts attachment</t>
  </si>
  <si>
    <t xml:space="preserve">File to investor/&lt;id&gt;/; row in documents (visibility=investor); owner notified</t>
  </si>
  <si>
    <t xml:space="preserve">BE-FN-004</t>
  </si>
  <si>
    <t xml:space="preserve">documents-sync idempotency</t>
  </si>
  <si>
    <t xml:space="preserve">Already-synced files</t>
  </si>
  <si>
    <t xml:space="preserve">1. Invoke twice</t>
  </si>
  <si>
    <t xml:space="preserve">No duplicate rows/objects (zoho_file_id de-dupe); webhook_log shows 0 new on 2nd run</t>
  </si>
  <si>
    <t xml:space="preserve">documents-sync logs to webhook_log</t>
  </si>
  <si>
    <t xml:space="preserve">Row source=documents_sync, status=processed, payload has scanned/new counts</t>
  </si>
  <si>
    <t xml:space="preserve">BE-FN-006</t>
  </si>
  <si>
    <t xml:space="preserve">documents-sync daily cron fires</t>
  </si>
  <si>
    <t xml:space="preserve">Cron scheduled</t>
  </si>
  <si>
    <t xml:space="preserve">1. Wait for 06:15 IST run</t>
  </si>
  <si>
    <t xml:space="preserve">cron.job 'documents-sync-daily' triggers function; webhook_log entry created</t>
  </si>
  <si>
    <t xml:space="preserve">BE-FN-007</t>
  </si>
  <si>
    <t xml:space="preserve">gallery-sync llp_status fix (REGRESSION)</t>
  </si>
  <si>
    <t xml:space="preserve">gallery-sync</t>
  </si>
  <si>
    <t xml:space="preserve">1. Invoke gallery-sync</t>
  </si>
  <si>
    <t xml:space="preserve">No 'projects.llp_status does not exist' error; images sync (apply same fix as documents-sync)</t>
  </si>
  <si>
    <t xml:space="preserve">BE-FN-008</t>
  </si>
  <si>
    <t xml:space="preserve">zoho-crm-webhook upserts Contacts/LLP/Allocation</t>
  </si>
  <si>
    <t xml:space="preserve">Zoho workflow</t>
  </si>
  <si>
    <t xml:space="preserve">1. Send webhook payloads</t>
  </si>
  <si>
    <t xml:space="preserve">investors/projects/llps/investor_units upserted; idempotent on (module,id,modified_time)</t>
  </si>
  <si>
    <t xml:space="preserve">BE-FN-009</t>
  </si>
  <si>
    <t xml:space="preserve">zoho-crm-webhook delete cascade</t>
  </si>
  <si>
    <t xml:space="preserve">Delete in Zoho</t>
  </si>
  <si>
    <t xml:space="preserve">1. Send delete event</t>
  </si>
  <si>
    <t xml:space="preserve">Cascades per spec (investors→dependents; SET NULL where defined)</t>
  </si>
  <si>
    <t xml:space="preserve">BE-FN-010</t>
  </si>
  <si>
    <t xml:space="preserve">onboard-investor</t>
  </si>
  <si>
    <t xml:space="preserve">New investor</t>
  </si>
  <si>
    <t xml:space="preserve">1. Trigger onboarding</t>
  </si>
  <si>
    <t xml:space="preserve">Investor provisioned correctly; no duplicates</t>
  </si>
  <si>
    <t xml:space="preserve">BE-FN-011</t>
  </si>
  <si>
    <t xml:space="preserve">create-ticket / reply-ticket require JWT</t>
  </si>
  <si>
    <t xml:space="preserve">1. Call without auth</t>
  </si>
  <si>
    <t xml:space="preserve">Rejected; with valid JWT works</t>
  </si>
  <si>
    <t xml:space="preserve">BE-FN-012</t>
  </si>
  <si>
    <t xml:space="preserve">bank-change-request flow</t>
  </si>
  <si>
    <t xml:space="preserve">1. Submit change</t>
  </si>
  <si>
    <t xml:space="preserve">Request recorded; notify-bank-update fires; no direct client write to bank fields</t>
  </si>
  <si>
    <t xml:space="preserve">BE-FN-013</t>
  </si>
  <si>
    <t xml:space="preserve">zoho-reconcile-daily + sync-stale-alert</t>
  </si>
  <si>
    <t xml:space="preserve">1. Run reconcile
2. Simulate stale sync</t>
  </si>
  <si>
    <t xml:space="preserve">Reconcile corrects drift; stale-alert flags when webhook_log shows no recent sync</t>
  </si>
  <si>
    <t xml:space="preserve">BE-FN-014</t>
  </si>
  <si>
    <t xml:space="preserve">1. Request login email</t>
  </si>
  <si>
    <t xml:space="preserve">Email sent via provider; rate-limited; no enumeration leak</t>
  </si>
  <si>
    <t xml:space="preserve">BE-FN-015</t>
  </si>
  <si>
    <t xml:space="preserve">latest-app-version gating source</t>
  </si>
  <si>
    <t xml:space="preserve">1. Query function</t>
  </si>
  <si>
    <t xml:space="preserve">Returns min/latest version powering force-update gate</t>
  </si>
  <si>
    <t xml:space="preserve">BE-FN-016</t>
  </si>
  <si>
    <t xml:space="preserve">Signed URL generation (documents/gallery)</t>
  </si>
  <si>
    <t xml:space="preserve">Private buckets</t>
  </si>
  <si>
    <t xml:space="preserve">1. Request signed URLs</t>
  </si>
  <si>
    <t xml:space="preserve">Valid short-lived URLs for existing objects; empty/handled for missing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</si>
</sst>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F1A15"/>
      <name val="Arial"/>
      <family val="0"/>
      <charset val="1"/>
    </font>
    <font>
      <sz val="10"/>
      <color rgb="FF0F1A1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F1A1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3C515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C5152"/>
        <bgColor rgb="FF333399"/>
      </patternFill>
    </fill>
    <fill>
      <patternFill patternType="solid">
        <fgColor rgb="FFE1DFC6"/>
        <bgColor rgb="FFC6EFCE"/>
      </patternFill>
    </fill>
    <fill>
      <patternFill patternType="solid">
        <fgColor rgb="FFF0F2EE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DFC6"/>
      </left>
      <right style="thin">
        <color rgb="FFE1DFC6"/>
      </right>
      <top style="thin">
        <color rgb="FFE1DFC6"/>
      </top>
      <bottom style="thin">
        <color rgb="FFE1DF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7F6000"/>
      </font>
      <fill>
        <patternFill>
          <bgColor rgb="FFFFEB9C"/>
        </patternFill>
      </fill>
    </dxf>
    <dxf>
      <font>
        <name val="Arial"/>
        <charset val="1"/>
        <family val="0"/>
        <color rgb="FF808080"/>
      </font>
      <fill>
        <patternFill>
          <bgColor rgb="FFEFEF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0F2EE"/>
      <rgbColor rgb="FFEFEFEF"/>
      <rgbColor rgb="FF660066"/>
      <rgbColor rgb="FFFF8080"/>
      <rgbColor rgb="FF0066CC"/>
      <rgbColor rgb="FFE1DFC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2E7D6E"/>
      <rgbColor rgb="FF0F1A15"/>
      <rgbColor rgb="FF333300"/>
      <rgbColor rgb="FF993300"/>
      <rgbColor rgb="FF993366"/>
      <rgbColor rgb="FF333399"/>
      <rgbColor rgb="FF3C5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5"/>
  </cols>
  <sheetData>
    <row r="1" customFormat="false" ht="24" hidden="false" customHeight="true" outlineLevel="0" collapsed="false">
      <c r="A1" s="2" t="s">
        <v>0</v>
      </c>
      <c r="B1" s="2"/>
    </row>
    <row r="3" customFormat="false" ht="23.25" hidden="false" customHeight="true" outlineLevel="0" collapsed="false">
      <c r="A3" s="3" t="s">
        <v>1</v>
      </c>
      <c r="B3" s="4" t="s">
        <v>2</v>
      </c>
    </row>
    <row r="4" customFormat="false" ht="23.25" hidden="false" customHeight="true" outlineLevel="0" collapsed="false">
      <c r="A4" s="3" t="s">
        <v>3</v>
      </c>
      <c r="B4" s="4" t="s">
        <v>4</v>
      </c>
    </row>
    <row r="5" customFormat="false" ht="23.2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23.25" hidden="false" customHeight="true" outlineLevel="0" collapsed="false">
      <c r="A10" s="3" t="s">
        <v>15</v>
      </c>
      <c r="B10" s="4" t="s">
        <v>16</v>
      </c>
    </row>
    <row r="11" customFormat="false" ht="23.25" hidden="false" customHeight="true" outlineLevel="0" collapsed="false">
      <c r="A11" s="3" t="s">
        <v>17</v>
      </c>
      <c r="B11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6E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9"/>
  </cols>
  <sheetData>
    <row r="1" customFormat="false" ht="21.7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</row>
    <row r="2" customFormat="false" ht="15" hidden="false" customHeight="true" outlineLevel="0" collapsed="false">
      <c r="A2" s="6" t="s">
        <v>27</v>
      </c>
      <c r="B2" s="7" t="n">
        <f aca="false">COUNTA('Auth &amp; Onboarding'!$A$2:$A$1000)</f>
        <v>12</v>
      </c>
      <c r="C2" s="7" t="n">
        <f aca="false">COUNTIF('Auth &amp; Onboarding'!$J$2:$J$1000,"Not Run")</f>
        <v>12</v>
      </c>
      <c r="D2" s="7" t="n">
        <f aca="false">COUNTIF('Auth &amp; Onboarding'!$J$2:$J$1000,"Pass")</f>
        <v>0</v>
      </c>
      <c r="E2" s="7" t="n">
        <f aca="false">COUNTIF('Auth &amp; Onboarding'!$J$2:$J$1000,"Fail")</f>
        <v>0</v>
      </c>
      <c r="F2" s="7" t="n">
        <f aca="false">COUNTIF('Auth &amp; Onboarding'!$J$2:$J$1000,"Blocked")</f>
        <v>0</v>
      </c>
      <c r="G2" s="7" t="n">
        <f aca="false">COUNTIF('Auth &amp; Onboarding'!$J$2:$J$1000,"N/A")</f>
        <v>0</v>
      </c>
      <c r="H2" s="8" t="n">
        <f aca="false">IFERROR(D2/(B2-G2),0)</f>
        <v>0</v>
      </c>
    </row>
    <row r="3" customFormat="false" ht="15" hidden="false" customHeight="true" outlineLevel="0" collapsed="false">
      <c r="A3" s="6" t="s">
        <v>28</v>
      </c>
      <c r="B3" s="7" t="n">
        <f aca="false">COUNTA('Home &amp; Portfolio'!$A$2:$A$1000)</f>
        <v>12</v>
      </c>
      <c r="C3" s="7" t="n">
        <f aca="false">COUNTIF('Home &amp; Portfolio'!$J$2:$J$1000,"Not Run")</f>
        <v>12</v>
      </c>
      <c r="D3" s="7" t="n">
        <f aca="false">COUNTIF('Home &amp; Portfolio'!$J$2:$J$1000,"Pass")</f>
        <v>0</v>
      </c>
      <c r="E3" s="7" t="n">
        <f aca="false">COUNTIF('Home &amp; Portfolio'!$J$2:$J$1000,"Fail")</f>
        <v>0</v>
      </c>
      <c r="F3" s="7" t="n">
        <f aca="false">COUNTIF('Home &amp; Portfolio'!$J$2:$J$1000,"Blocked")</f>
        <v>0</v>
      </c>
      <c r="G3" s="7" t="n">
        <f aca="false">COUNTIF('Home &amp; Portfolio'!$J$2:$J$1000,"N/A")</f>
        <v>0</v>
      </c>
      <c r="H3" s="8" t="n">
        <f aca="false">IFERROR(D3/(B3-G3),0)</f>
        <v>0</v>
      </c>
    </row>
    <row r="4" customFormat="false" ht="15" hidden="false" customHeight="true" outlineLevel="0" collapsed="false">
      <c r="A4" s="6" t="s">
        <v>29</v>
      </c>
      <c r="B4" s="7" t="n">
        <f aca="false">COUNTA(Projects!$A$2:$A$1000)</f>
        <v>12</v>
      </c>
      <c r="C4" s="7" t="n">
        <f aca="false">COUNTIF(Projects!$J$2:$J$1000,"Not Run")</f>
        <v>12</v>
      </c>
      <c r="D4" s="7" t="n">
        <f aca="false">COUNTIF(Projects!$J$2:$J$1000,"Pass")</f>
        <v>0</v>
      </c>
      <c r="E4" s="7" t="n">
        <f aca="false">COUNTIF(Projects!$J$2:$J$1000,"Fail")</f>
        <v>0</v>
      </c>
      <c r="F4" s="7" t="n">
        <f aca="false">COUNTIF(Projects!$J$2:$J$1000,"Blocked")</f>
        <v>0</v>
      </c>
      <c r="G4" s="7" t="n">
        <f aca="false">COUNTIF(Projects!$J$2:$J$1000,"N/A")</f>
        <v>0</v>
      </c>
      <c r="H4" s="8" t="n">
        <f aca="false">IFERROR(D4/(B4-G4),0)</f>
        <v>0</v>
      </c>
    </row>
    <row r="5" customFormat="false" ht="15" hidden="false" customHeight="true" outlineLevel="0" collapsed="false">
      <c r="A5" s="6" t="s">
        <v>30</v>
      </c>
      <c r="B5" s="7" t="n">
        <f aca="false">COUNTA(Financials!$A$2:$A$1000)</f>
        <v>9</v>
      </c>
      <c r="C5" s="7" t="n">
        <f aca="false">COUNTIF(Financials!$J$2:$J$1000,"Not Run")</f>
        <v>9</v>
      </c>
      <c r="D5" s="7" t="n">
        <f aca="false">COUNTIF(Financials!$J$2:$J$1000,"Pass")</f>
        <v>0</v>
      </c>
      <c r="E5" s="7" t="n">
        <f aca="false">COUNTIF(Financials!$J$2:$J$1000,"Fail")</f>
        <v>0</v>
      </c>
      <c r="F5" s="7" t="n">
        <f aca="false">COUNTIF(Financials!$J$2:$J$1000,"Blocked")</f>
        <v>0</v>
      </c>
      <c r="G5" s="7" t="n">
        <f aca="false">COUNTIF(Financials!$J$2:$J$1000,"N/A")</f>
        <v>0</v>
      </c>
      <c r="H5" s="8" t="n">
        <f aca="false">IFERROR(D5/(B5-G5),0)</f>
        <v>0</v>
      </c>
    </row>
    <row r="6" customFormat="false" ht="15" hidden="false" customHeight="true" outlineLevel="0" collapsed="false">
      <c r="A6" s="6" t="s">
        <v>31</v>
      </c>
      <c r="B6" s="7" t="n">
        <f aca="false">COUNTA(Documents!$A$2:$A$1000)</f>
        <v>12</v>
      </c>
      <c r="C6" s="7" t="n">
        <f aca="false">COUNTIF(Documents!$J$2:$J$1000,"Not Run")</f>
        <v>12</v>
      </c>
      <c r="D6" s="7" t="n">
        <f aca="false">COUNTIF(Documents!$J$2:$J$1000,"Pass")</f>
        <v>0</v>
      </c>
      <c r="E6" s="7" t="n">
        <f aca="false">COUNTIF(Documents!$J$2:$J$1000,"Fail")</f>
        <v>0</v>
      </c>
      <c r="F6" s="7" t="n">
        <f aca="false">COUNTIF(Documents!$J$2:$J$1000,"Blocked")</f>
        <v>0</v>
      </c>
      <c r="G6" s="7" t="n">
        <f aca="false">COUNTIF(Documents!$J$2:$J$1000,"N/A")</f>
        <v>0</v>
      </c>
      <c r="H6" s="8" t="n">
        <f aca="false">IFERROR(D6/(B6-G6),0)</f>
        <v>0</v>
      </c>
    </row>
    <row r="7" customFormat="false" ht="15" hidden="false" customHeight="true" outlineLevel="0" collapsed="false">
      <c r="A7" s="6" t="s">
        <v>32</v>
      </c>
      <c r="B7" s="7" t="n">
        <f aca="false">COUNTA('Activity &amp; Gallery'!$A$2:$A$1000)</f>
        <v>9</v>
      </c>
      <c r="C7" s="7" t="n">
        <f aca="false">COUNTIF('Activity &amp; Gallery'!$J$2:$J$1000,"Not Run")</f>
        <v>9</v>
      </c>
      <c r="D7" s="7" t="n">
        <f aca="false">COUNTIF('Activity &amp; Gallery'!$J$2:$J$1000,"Pass")</f>
        <v>0</v>
      </c>
      <c r="E7" s="7" t="n">
        <f aca="false">COUNTIF('Activity &amp; Gallery'!$J$2:$J$1000,"Fail")</f>
        <v>0</v>
      </c>
      <c r="F7" s="7" t="n">
        <f aca="false">COUNTIF('Activity &amp; Gallery'!$J$2:$J$1000,"Blocked")</f>
        <v>0</v>
      </c>
      <c r="G7" s="7" t="n">
        <f aca="false">COUNTIF('Activity &amp; Gallery'!$J$2:$J$1000,"N/A")</f>
        <v>0</v>
      </c>
      <c r="H7" s="8" t="n">
        <f aca="false">IFERROR(D7/(B7-G7),0)</f>
        <v>0</v>
      </c>
    </row>
    <row r="8" customFormat="false" ht="15" hidden="false" customHeight="true" outlineLevel="0" collapsed="false">
      <c r="A8" s="6" t="s">
        <v>33</v>
      </c>
      <c r="B8" s="7" t="n">
        <f aca="false">COUNTA('Explore &amp; Exit'!$A$2:$A$1000)</f>
        <v>8</v>
      </c>
      <c r="C8" s="7" t="n">
        <f aca="false">COUNTIF('Explore &amp; Exit'!$J$2:$J$1000,"Not Run")</f>
        <v>8</v>
      </c>
      <c r="D8" s="7" t="n">
        <f aca="false">COUNTIF('Explore &amp; Exit'!$J$2:$J$1000,"Pass")</f>
        <v>0</v>
      </c>
      <c r="E8" s="7" t="n">
        <f aca="false">COUNTIF('Explore &amp; Exit'!$J$2:$J$1000,"Fail")</f>
        <v>0</v>
      </c>
      <c r="F8" s="7" t="n">
        <f aca="false">COUNTIF('Explore &amp; Exit'!$J$2:$J$1000,"Blocked")</f>
        <v>0</v>
      </c>
      <c r="G8" s="7" t="n">
        <f aca="false">COUNTIF('Explore &amp; Exit'!$J$2:$J$1000,"N/A")</f>
        <v>0</v>
      </c>
      <c r="H8" s="8" t="n">
        <f aca="false">IFERROR(D8/(B8-G8),0)</f>
        <v>0</v>
      </c>
    </row>
    <row r="9" customFormat="false" ht="15" hidden="false" customHeight="true" outlineLevel="0" collapsed="false">
      <c r="A9" s="6" t="s">
        <v>34</v>
      </c>
      <c r="B9" s="7" t="n">
        <f aca="false">COUNTA('Profile &amp; Settings'!$A$2:$A$1000)</f>
        <v>7</v>
      </c>
      <c r="C9" s="7" t="n">
        <f aca="false">COUNTIF('Profile &amp; Settings'!$J$2:$J$1000,"Not Run")</f>
        <v>7</v>
      </c>
      <c r="D9" s="7" t="n">
        <f aca="false">COUNTIF('Profile &amp; Settings'!$J$2:$J$1000,"Pass")</f>
        <v>0</v>
      </c>
      <c r="E9" s="7" t="n">
        <f aca="false">COUNTIF('Profile &amp; Settings'!$J$2:$J$1000,"Fail")</f>
        <v>0</v>
      </c>
      <c r="F9" s="7" t="n">
        <f aca="false">COUNTIF('Profile &amp; Settings'!$J$2:$J$1000,"Blocked")</f>
        <v>0</v>
      </c>
      <c r="G9" s="7" t="n">
        <f aca="false">COUNTIF('Profile &amp; Settings'!$J$2:$J$1000,"N/A")</f>
        <v>0</v>
      </c>
      <c r="H9" s="8" t="n">
        <f aca="false">IFERROR(D9/(B9-G9),0)</f>
        <v>0</v>
      </c>
    </row>
    <row r="10" customFormat="false" ht="15" hidden="false" customHeight="true" outlineLevel="0" collapsed="false">
      <c r="A10" s="6" t="s">
        <v>35</v>
      </c>
      <c r="B10" s="7" t="n">
        <f aca="false">COUNTA(Support!$A$2:$A$1000)</f>
        <v>5</v>
      </c>
      <c r="C10" s="7" t="n">
        <f aca="false">COUNTIF(Support!$J$2:$J$1000,"Not Run")</f>
        <v>5</v>
      </c>
      <c r="D10" s="7" t="n">
        <f aca="false">COUNTIF(Support!$J$2:$J$1000,"Pass")</f>
        <v>0</v>
      </c>
      <c r="E10" s="7" t="n">
        <f aca="false">COUNTIF(Support!$J$2:$J$1000,"Fail")</f>
        <v>0</v>
      </c>
      <c r="F10" s="7" t="n">
        <f aca="false">COUNTIF(Support!$J$2:$J$1000,"Blocked")</f>
        <v>0</v>
      </c>
      <c r="G10" s="7" t="n">
        <f aca="false">COUNTIF(Support!$J$2:$J$1000,"N/A")</f>
        <v>0</v>
      </c>
      <c r="H10" s="8" t="n">
        <f aca="false">IFERROR(D10/(B10-G10),0)</f>
        <v>0</v>
      </c>
    </row>
    <row r="11" customFormat="false" ht="15" hidden="false" customHeight="true" outlineLevel="0" collapsed="false">
      <c r="A11" s="6" t="s">
        <v>36</v>
      </c>
      <c r="B11" s="7" t="n">
        <f aca="false">COUNTA('Cross-Cutting (UX-Perf-Sec)'!$A$2:$A$1000)</f>
        <v>12</v>
      </c>
      <c r="C11" s="7" t="n">
        <f aca="false">COUNTIF('Cross-Cutting (UX-Perf-Sec)'!$J$2:$J$1000,"Not Run")</f>
        <v>12</v>
      </c>
      <c r="D11" s="7" t="n">
        <f aca="false">COUNTIF('Cross-Cutting (UX-Perf-Sec)'!$J$2:$J$1000,"Pass")</f>
        <v>0</v>
      </c>
      <c r="E11" s="7" t="n">
        <f aca="false">COUNTIF('Cross-Cutting (UX-Perf-Sec)'!$J$2:$J$1000,"Fail")</f>
        <v>0</v>
      </c>
      <c r="F11" s="7" t="n">
        <f aca="false">COUNTIF('Cross-Cutting (UX-Perf-Sec)'!$J$2:$J$1000,"Blocked")</f>
        <v>0</v>
      </c>
      <c r="G11" s="7" t="n">
        <f aca="false">COUNTIF('Cross-Cutting (UX-Perf-Sec)'!$J$2:$J$1000,"N/A")</f>
        <v>0</v>
      </c>
      <c r="H11" s="8" t="n">
        <f aca="false">IFERROR(D11/(B11-G11),0)</f>
        <v>0</v>
      </c>
    </row>
    <row r="12" customFormat="false" ht="15" hidden="false" customHeight="true" outlineLevel="0" collapsed="false">
      <c r="A12" s="6" t="s">
        <v>37</v>
      </c>
      <c r="B12" s="7" t="n">
        <f aca="false">COUNTA('Backend - DB &amp; RLS'!$A$2:$A$1000)</f>
        <v>13</v>
      </c>
      <c r="C12" s="7" t="n">
        <f aca="false">COUNTIF('Backend - DB &amp; RLS'!$J$2:$J$1000,"Not Run")</f>
        <v>13</v>
      </c>
      <c r="D12" s="7" t="n">
        <f aca="false">COUNTIF('Backend - DB &amp; RLS'!$J$2:$J$1000,"Pass")</f>
        <v>0</v>
      </c>
      <c r="E12" s="7" t="n">
        <f aca="false">COUNTIF('Backend - DB &amp; RLS'!$J$2:$J$1000,"Fail")</f>
        <v>0</v>
      </c>
      <c r="F12" s="7" t="n">
        <f aca="false">COUNTIF('Backend - DB &amp; RLS'!$J$2:$J$1000,"Blocked")</f>
        <v>0</v>
      </c>
      <c r="G12" s="7" t="n">
        <f aca="false">COUNTIF('Backend - DB &amp; RLS'!$J$2:$J$1000,"N/A")</f>
        <v>0</v>
      </c>
      <c r="H12" s="8" t="n">
        <f aca="false">IFERROR(D12/(B12-G12),0)</f>
        <v>0</v>
      </c>
    </row>
    <row r="13" customFormat="false" ht="15" hidden="false" customHeight="true" outlineLevel="0" collapsed="false">
      <c r="A13" s="6" t="s">
        <v>38</v>
      </c>
      <c r="B13" s="7" t="n">
        <f aca="false">COUNTA('Backend - Edge Functions &amp; Sync'!$A$2:$A$1000)</f>
        <v>16</v>
      </c>
      <c r="C13" s="7" t="n">
        <f aca="false">COUNTIF('Backend - Edge Functions &amp; Sync'!$J$2:$J$1000,"Not Run")</f>
        <v>16</v>
      </c>
      <c r="D13" s="7" t="n">
        <f aca="false">COUNTIF('Backend - Edge Functions &amp; Sync'!$J$2:$J$1000,"Pass")</f>
        <v>0</v>
      </c>
      <c r="E13" s="7" t="n">
        <f aca="false">COUNTIF('Backend - Edge Functions &amp; Sync'!$J$2:$J$1000,"Fail")</f>
        <v>0</v>
      </c>
      <c r="F13" s="7" t="n">
        <f aca="false">COUNTIF('Backend - Edge Functions &amp; Sync'!$J$2:$J$1000,"Blocked")</f>
        <v>0</v>
      </c>
      <c r="G13" s="7" t="n">
        <f aca="false">COUNTIF('Backend - Edge Functions &amp; Sync'!$J$2:$J$1000,"N/A")</f>
        <v>0</v>
      </c>
      <c r="H13" s="8" t="n">
        <f aca="false">IFERROR(D13/(B13-G13),0)</f>
        <v>0</v>
      </c>
    </row>
    <row r="14" customFormat="false" ht="15" hidden="false" customHeight="true" outlineLevel="0" collapsed="false">
      <c r="A14" s="9" t="s">
        <v>39</v>
      </c>
      <c r="B14" s="10" t="n">
        <f aca="false">SUM(B2:B13)</f>
        <v>127</v>
      </c>
      <c r="C14" s="10" t="n">
        <f aca="false">SUM(C2:C13)</f>
        <v>127</v>
      </c>
      <c r="D14" s="10" t="n">
        <f aca="false">SUM(D2:D13)</f>
        <v>0</v>
      </c>
      <c r="E14" s="10" t="n">
        <f aca="false">SUM(E2:E13)</f>
        <v>0</v>
      </c>
      <c r="F14" s="10" t="n">
        <f aca="false">SUM(F2:F13)</f>
        <v>0</v>
      </c>
      <c r="G14" s="10" t="n">
        <f aca="false">SUM(G2:G13)</f>
        <v>0</v>
      </c>
      <c r="H14" s="11" t="n">
        <f aca="false">IFERROR(D14/(B14-G14),0)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F37"/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6" min="5" style="0" width="30"/>
    <col collapsed="false" customWidth="true" hidden="false" outlineLevel="0" max="7" min="7" style="0" width="40"/>
    <col collapsed="false" customWidth="true" hidden="false" outlineLevel="0" max="8" min="8" style="0" width="22"/>
  </cols>
  <sheetData>
    <row r="1" customFormat="false" ht="24" hidden="false" customHeight="true" outlineLevel="0" collapsed="false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</row>
    <row r="2" customFormat="false" ht="15" hidden="false" customHeight="false" outlineLevel="0" collapsed="false">
      <c r="A2" s="12" t="s">
        <v>48</v>
      </c>
      <c r="B2" s="13" t="s">
        <v>49</v>
      </c>
      <c r="C2" s="14" t="n">
        <v>1</v>
      </c>
      <c r="D2" s="15" t="s">
        <v>50</v>
      </c>
      <c r="E2" s="15" t="s">
        <v>51</v>
      </c>
      <c r="F2" s="15" t="s">
        <v>52</v>
      </c>
      <c r="G2" s="15" t="s">
        <v>53</v>
      </c>
      <c r="H2" s="15" t="s">
        <v>54</v>
      </c>
    </row>
    <row r="3" customFormat="false" ht="23.85" hidden="false" customHeight="false" outlineLevel="0" collapsed="false">
      <c r="A3" s="15"/>
      <c r="B3" s="15"/>
      <c r="C3" s="14" t="n">
        <v>2</v>
      </c>
      <c r="D3" s="15" t="s">
        <v>55</v>
      </c>
      <c r="E3" s="15" t="s">
        <v>56</v>
      </c>
      <c r="F3" s="15" t="s">
        <v>57</v>
      </c>
      <c r="G3" s="15" t="s">
        <v>58</v>
      </c>
      <c r="H3" s="15" t="s">
        <v>59</v>
      </c>
    </row>
    <row r="4" customFormat="false" ht="23.85" hidden="false" customHeight="false" outlineLevel="0" collapsed="false">
      <c r="A4" s="15"/>
      <c r="B4" s="15"/>
      <c r="C4" s="14" t="n">
        <v>3</v>
      </c>
      <c r="D4" s="15" t="s">
        <v>60</v>
      </c>
      <c r="E4" s="15" t="s">
        <v>61</v>
      </c>
      <c r="F4" s="15" t="s">
        <v>62</v>
      </c>
      <c r="G4" s="15" t="s">
        <v>63</v>
      </c>
      <c r="H4" s="15" t="s">
        <v>64</v>
      </c>
    </row>
    <row r="5" customFormat="false" ht="15" hidden="false" customHeight="false" outlineLevel="0" collapsed="false">
      <c r="A5" s="15"/>
      <c r="B5" s="15"/>
      <c r="C5" s="14" t="n">
        <v>4</v>
      </c>
      <c r="D5" s="15" t="s">
        <v>65</v>
      </c>
      <c r="E5" s="15" t="s">
        <v>56</v>
      </c>
      <c r="F5" s="15" t="s">
        <v>66</v>
      </c>
      <c r="G5" s="15" t="s">
        <v>67</v>
      </c>
      <c r="H5" s="15" t="s">
        <v>68</v>
      </c>
    </row>
    <row r="6" customFormat="false" ht="15" hidden="false" customHeight="false" outlineLevel="0" collapsed="false">
      <c r="A6" s="15"/>
      <c r="B6" s="15"/>
      <c r="C6" s="14" t="n">
        <v>5</v>
      </c>
      <c r="D6" s="15" t="s">
        <v>69</v>
      </c>
      <c r="E6" s="15" t="s">
        <v>70</v>
      </c>
      <c r="F6" s="15" t="s">
        <v>71</v>
      </c>
      <c r="G6" s="15" t="s">
        <v>72</v>
      </c>
      <c r="H6" s="15" t="s">
        <v>73</v>
      </c>
    </row>
    <row r="7" customFormat="false" ht="15" hidden="false" customHeight="false" outlineLevel="0" collapsed="false">
      <c r="A7" s="15"/>
      <c r="B7" s="15"/>
      <c r="C7" s="14" t="n">
        <v>6</v>
      </c>
      <c r="D7" s="15" t="s">
        <v>74</v>
      </c>
      <c r="E7" s="15" t="s">
        <v>75</v>
      </c>
      <c r="F7" s="15" t="s">
        <v>76</v>
      </c>
      <c r="G7" s="15" t="s">
        <v>77</v>
      </c>
      <c r="H7" s="15" t="s">
        <v>78</v>
      </c>
    </row>
    <row r="8" customFormat="false" ht="23.85" hidden="false" customHeight="false" outlineLevel="0" collapsed="false">
      <c r="A8" s="15"/>
      <c r="B8" s="15"/>
      <c r="C8" s="14" t="n">
        <v>7</v>
      </c>
      <c r="D8" s="15" t="s">
        <v>79</v>
      </c>
      <c r="E8" s="15" t="s">
        <v>56</v>
      </c>
      <c r="F8" s="15" t="s">
        <v>80</v>
      </c>
      <c r="G8" s="15" t="s">
        <v>81</v>
      </c>
      <c r="H8" s="15" t="s">
        <v>82</v>
      </c>
    </row>
    <row r="9" customFormat="false" ht="15" hidden="false" customHeight="false" outlineLevel="0" collapsed="false">
      <c r="A9" s="16" t="s">
        <v>83</v>
      </c>
      <c r="B9" s="17" t="s">
        <v>84</v>
      </c>
      <c r="C9" s="18" t="n">
        <v>1</v>
      </c>
      <c r="D9" s="19" t="s">
        <v>85</v>
      </c>
      <c r="E9" s="19" t="s">
        <v>86</v>
      </c>
      <c r="F9" s="19" t="s">
        <v>87</v>
      </c>
      <c r="G9" s="19" t="s">
        <v>88</v>
      </c>
      <c r="H9" s="19" t="s">
        <v>89</v>
      </c>
    </row>
    <row r="10" customFormat="false" ht="15" hidden="false" customHeight="false" outlineLevel="0" collapsed="false">
      <c r="A10" s="19"/>
      <c r="B10" s="19"/>
      <c r="C10" s="18" t="n">
        <v>2</v>
      </c>
      <c r="D10" s="19" t="s">
        <v>69</v>
      </c>
      <c r="E10" s="19" t="s">
        <v>90</v>
      </c>
      <c r="F10" s="19" t="s">
        <v>91</v>
      </c>
      <c r="G10" s="19" t="s">
        <v>92</v>
      </c>
      <c r="H10" s="19" t="s">
        <v>93</v>
      </c>
    </row>
    <row r="11" customFormat="false" ht="15" hidden="false" customHeight="false" outlineLevel="0" collapsed="false">
      <c r="A11" s="19"/>
      <c r="B11" s="19"/>
      <c r="C11" s="18" t="n">
        <v>3</v>
      </c>
      <c r="D11" s="19" t="s">
        <v>94</v>
      </c>
      <c r="E11" s="19" t="s">
        <v>56</v>
      </c>
      <c r="F11" s="19" t="s">
        <v>95</v>
      </c>
      <c r="G11" s="19" t="s">
        <v>96</v>
      </c>
      <c r="H11" s="19" t="s">
        <v>97</v>
      </c>
    </row>
    <row r="12" customFormat="false" ht="23.85" hidden="false" customHeight="false" outlineLevel="0" collapsed="false">
      <c r="A12" s="12" t="s">
        <v>98</v>
      </c>
      <c r="B12" s="13" t="s">
        <v>99</v>
      </c>
      <c r="C12" s="14" t="n">
        <v>1</v>
      </c>
      <c r="D12" s="15" t="s">
        <v>100</v>
      </c>
      <c r="E12" s="15" t="s">
        <v>101</v>
      </c>
      <c r="F12" s="15" t="s">
        <v>102</v>
      </c>
      <c r="G12" s="15" t="s">
        <v>103</v>
      </c>
      <c r="H12" s="15" t="s">
        <v>104</v>
      </c>
    </row>
    <row r="13" customFormat="false" ht="15" hidden="false" customHeight="false" outlineLevel="0" collapsed="false">
      <c r="A13" s="15"/>
      <c r="B13" s="15"/>
      <c r="C13" s="14" t="n">
        <v>2</v>
      </c>
      <c r="D13" s="15" t="s">
        <v>105</v>
      </c>
      <c r="E13" s="15" t="s">
        <v>106</v>
      </c>
      <c r="F13" s="15" t="s">
        <v>107</v>
      </c>
      <c r="G13" s="15" t="s">
        <v>108</v>
      </c>
      <c r="H13" s="15" t="s">
        <v>109</v>
      </c>
    </row>
    <row r="14" customFormat="false" ht="23.85" hidden="false" customHeight="false" outlineLevel="0" collapsed="false">
      <c r="A14" s="15"/>
      <c r="B14" s="15"/>
      <c r="C14" s="14" t="n">
        <v>3</v>
      </c>
      <c r="D14" s="15" t="s">
        <v>110</v>
      </c>
      <c r="E14" s="15" t="s">
        <v>111</v>
      </c>
      <c r="F14" s="15" t="s">
        <v>112</v>
      </c>
      <c r="G14" s="15" t="s">
        <v>113</v>
      </c>
      <c r="H14" s="15" t="s">
        <v>114</v>
      </c>
    </row>
    <row r="15" customFormat="false" ht="23.85" hidden="false" customHeight="false" outlineLevel="0" collapsed="false">
      <c r="A15" s="15"/>
      <c r="B15" s="15"/>
      <c r="C15" s="14" t="n">
        <v>4</v>
      </c>
      <c r="D15" s="15" t="s">
        <v>115</v>
      </c>
      <c r="E15" s="15" t="s">
        <v>116</v>
      </c>
      <c r="F15" s="15" t="s">
        <v>117</v>
      </c>
      <c r="G15" s="15" t="s">
        <v>118</v>
      </c>
      <c r="H15" s="15" t="s">
        <v>119</v>
      </c>
    </row>
    <row r="16" customFormat="false" ht="23.85" hidden="false" customHeight="false" outlineLevel="0" collapsed="false">
      <c r="A16" s="15"/>
      <c r="B16" s="15"/>
      <c r="C16" s="14" t="n">
        <v>5</v>
      </c>
      <c r="D16" s="15" t="s">
        <v>31</v>
      </c>
      <c r="E16" s="15" t="s">
        <v>120</v>
      </c>
      <c r="F16" s="15" t="s">
        <v>121</v>
      </c>
      <c r="G16" s="15" t="s">
        <v>122</v>
      </c>
      <c r="H16" s="15" t="s">
        <v>123</v>
      </c>
    </row>
    <row r="17" customFormat="false" ht="15" hidden="false" customHeight="false" outlineLevel="0" collapsed="false">
      <c r="A17" s="15"/>
      <c r="B17" s="15"/>
      <c r="C17" s="14" t="n">
        <v>6</v>
      </c>
      <c r="D17" s="15" t="s">
        <v>124</v>
      </c>
      <c r="E17" s="15" t="s">
        <v>125</v>
      </c>
      <c r="F17" s="15" t="s">
        <v>126</v>
      </c>
      <c r="G17" s="15" t="s">
        <v>127</v>
      </c>
      <c r="H17" s="15" t="s">
        <v>128</v>
      </c>
    </row>
    <row r="18" customFormat="false" ht="15" hidden="false" customHeight="false" outlineLevel="0" collapsed="false">
      <c r="A18" s="16" t="s">
        <v>129</v>
      </c>
      <c r="B18" s="17" t="s">
        <v>130</v>
      </c>
      <c r="C18" s="18" t="n">
        <v>1</v>
      </c>
      <c r="D18" s="19" t="s">
        <v>30</v>
      </c>
      <c r="E18" s="19" t="s">
        <v>131</v>
      </c>
      <c r="F18" s="19" t="s">
        <v>132</v>
      </c>
      <c r="G18" s="19" t="s">
        <v>133</v>
      </c>
      <c r="H18" s="19" t="s">
        <v>134</v>
      </c>
    </row>
    <row r="19" customFormat="false" ht="23.85" hidden="false" customHeight="false" outlineLevel="0" collapsed="false">
      <c r="A19" s="19"/>
      <c r="B19" s="19"/>
      <c r="C19" s="18" t="n">
        <v>2</v>
      </c>
      <c r="D19" s="19" t="s">
        <v>135</v>
      </c>
      <c r="E19" s="19" t="s">
        <v>136</v>
      </c>
      <c r="F19" s="19" t="s">
        <v>137</v>
      </c>
      <c r="G19" s="19" t="s">
        <v>138</v>
      </c>
      <c r="H19" s="19" t="s">
        <v>139</v>
      </c>
    </row>
    <row r="20" customFormat="false" ht="15" hidden="false" customHeight="false" outlineLevel="0" collapsed="false">
      <c r="A20" s="19"/>
      <c r="B20" s="19"/>
      <c r="C20" s="18" t="n">
        <v>3</v>
      </c>
      <c r="D20" s="19" t="s">
        <v>140</v>
      </c>
      <c r="E20" s="19" t="s">
        <v>141</v>
      </c>
      <c r="F20" s="19" t="s">
        <v>142</v>
      </c>
      <c r="G20" s="19" t="s">
        <v>143</v>
      </c>
      <c r="H20" s="19" t="s">
        <v>144</v>
      </c>
    </row>
    <row r="21" customFormat="false" ht="15" hidden="false" customHeight="false" outlineLevel="0" collapsed="false">
      <c r="A21" s="19"/>
      <c r="B21" s="19"/>
      <c r="C21" s="18" t="n">
        <v>4</v>
      </c>
      <c r="D21" s="19" t="s">
        <v>145</v>
      </c>
      <c r="E21" s="19" t="s">
        <v>146</v>
      </c>
      <c r="F21" s="19" t="s">
        <v>147</v>
      </c>
      <c r="G21" s="19" t="s">
        <v>148</v>
      </c>
      <c r="H21" s="19" t="s">
        <v>149</v>
      </c>
    </row>
    <row r="22" customFormat="false" ht="15" hidden="false" customHeight="false" outlineLevel="0" collapsed="false">
      <c r="A22" s="12" t="s">
        <v>150</v>
      </c>
      <c r="B22" s="13" t="s">
        <v>151</v>
      </c>
      <c r="C22" s="14" t="n">
        <v>1</v>
      </c>
      <c r="D22" s="15" t="s">
        <v>152</v>
      </c>
      <c r="E22" s="15" t="s">
        <v>153</v>
      </c>
      <c r="F22" s="15" t="s">
        <v>154</v>
      </c>
      <c r="G22" s="15" t="s">
        <v>155</v>
      </c>
      <c r="H22" s="15" t="s">
        <v>156</v>
      </c>
    </row>
    <row r="23" customFormat="false" ht="15" hidden="false" customHeight="false" outlineLevel="0" collapsed="false">
      <c r="A23" s="15"/>
      <c r="B23" s="15"/>
      <c r="C23" s="14" t="n">
        <v>2</v>
      </c>
      <c r="D23" s="15" t="s">
        <v>157</v>
      </c>
      <c r="E23" s="15" t="s">
        <v>158</v>
      </c>
      <c r="F23" s="15" t="s">
        <v>159</v>
      </c>
      <c r="G23" s="15" t="s">
        <v>160</v>
      </c>
      <c r="H23" s="15" t="s">
        <v>161</v>
      </c>
    </row>
    <row r="24" customFormat="false" ht="15" hidden="false" customHeight="false" outlineLevel="0" collapsed="false">
      <c r="A24" s="15"/>
      <c r="B24" s="15"/>
      <c r="C24" s="14" t="n">
        <v>3</v>
      </c>
      <c r="D24" s="15" t="s">
        <v>162</v>
      </c>
      <c r="E24" s="15" t="s">
        <v>56</v>
      </c>
      <c r="F24" s="15" t="s">
        <v>163</v>
      </c>
      <c r="G24" s="15" t="s">
        <v>164</v>
      </c>
      <c r="H24" s="15" t="s">
        <v>165</v>
      </c>
    </row>
    <row r="25" customFormat="false" ht="23.85" hidden="false" customHeight="false" outlineLevel="0" collapsed="false">
      <c r="A25" s="15"/>
      <c r="B25" s="15"/>
      <c r="C25" s="14" t="n">
        <v>4</v>
      </c>
      <c r="D25" s="15" t="s">
        <v>166</v>
      </c>
      <c r="E25" s="15" t="s">
        <v>56</v>
      </c>
      <c r="F25" s="15" t="s">
        <v>167</v>
      </c>
      <c r="G25" s="15" t="s">
        <v>168</v>
      </c>
      <c r="H25" s="15" t="s">
        <v>169</v>
      </c>
    </row>
    <row r="26" customFormat="false" ht="15" hidden="false" customHeight="false" outlineLevel="0" collapsed="false">
      <c r="A26" s="15"/>
      <c r="B26" s="15"/>
      <c r="C26" s="14" t="n">
        <v>5</v>
      </c>
      <c r="D26" s="15" t="s">
        <v>170</v>
      </c>
      <c r="E26" s="15" t="s">
        <v>56</v>
      </c>
      <c r="F26" s="15" t="s">
        <v>171</v>
      </c>
      <c r="G26" s="15" t="s">
        <v>172</v>
      </c>
      <c r="H26" s="15" t="s">
        <v>173</v>
      </c>
    </row>
    <row r="27" customFormat="false" ht="15" hidden="false" customHeight="false" outlineLevel="0" collapsed="false">
      <c r="A27" s="15"/>
      <c r="B27" s="15"/>
      <c r="C27" s="14" t="n">
        <v>6</v>
      </c>
      <c r="D27" s="15" t="s">
        <v>174</v>
      </c>
      <c r="E27" s="15" t="s">
        <v>175</v>
      </c>
      <c r="F27" s="15" t="s">
        <v>176</v>
      </c>
      <c r="G27" s="15" t="s">
        <v>177</v>
      </c>
      <c r="H27" s="15" t="s">
        <v>178</v>
      </c>
    </row>
    <row r="28" customFormat="false" ht="23.85" hidden="false" customHeight="false" outlineLevel="0" collapsed="false">
      <c r="A28" s="16" t="s">
        <v>179</v>
      </c>
      <c r="B28" s="17" t="s">
        <v>180</v>
      </c>
      <c r="C28" s="18" t="n">
        <v>1</v>
      </c>
      <c r="D28" s="19" t="s">
        <v>181</v>
      </c>
      <c r="E28" s="19" t="s">
        <v>182</v>
      </c>
      <c r="F28" s="19" t="s">
        <v>183</v>
      </c>
      <c r="G28" s="19" t="s">
        <v>184</v>
      </c>
      <c r="H28" s="19" t="s">
        <v>185</v>
      </c>
    </row>
    <row r="29" customFormat="false" ht="15" hidden="false" customHeight="false" outlineLevel="0" collapsed="false">
      <c r="A29" s="19"/>
      <c r="B29" s="19"/>
      <c r="C29" s="18" t="n">
        <v>2</v>
      </c>
      <c r="D29" s="19" t="s">
        <v>186</v>
      </c>
      <c r="E29" s="19" t="s">
        <v>187</v>
      </c>
      <c r="F29" s="19" t="s">
        <v>188</v>
      </c>
      <c r="G29" s="19" t="s">
        <v>189</v>
      </c>
      <c r="H29" s="19" t="s">
        <v>190</v>
      </c>
    </row>
    <row r="30" customFormat="false" ht="15" hidden="false" customHeight="false" outlineLevel="0" collapsed="false">
      <c r="A30" s="19"/>
      <c r="B30" s="19"/>
      <c r="C30" s="18" t="n">
        <v>3</v>
      </c>
      <c r="D30" s="19" t="s">
        <v>191</v>
      </c>
      <c r="E30" s="19" t="s">
        <v>192</v>
      </c>
      <c r="F30" s="19" t="s">
        <v>193</v>
      </c>
      <c r="G30" s="19" t="s">
        <v>194</v>
      </c>
      <c r="H30" s="19" t="s">
        <v>195</v>
      </c>
    </row>
    <row r="31" customFormat="false" ht="15" hidden="false" customHeight="false" outlineLevel="0" collapsed="false">
      <c r="A31" s="12" t="s">
        <v>196</v>
      </c>
      <c r="B31" s="13" t="s">
        <v>197</v>
      </c>
      <c r="C31" s="14" t="n">
        <v>1</v>
      </c>
      <c r="D31" s="15" t="s">
        <v>35</v>
      </c>
      <c r="E31" s="15" t="s">
        <v>198</v>
      </c>
      <c r="F31" s="15" t="s">
        <v>199</v>
      </c>
      <c r="G31" s="15" t="s">
        <v>200</v>
      </c>
      <c r="H31" s="15" t="s">
        <v>201</v>
      </c>
    </row>
    <row r="32" customFormat="false" ht="15" hidden="false" customHeight="false" outlineLevel="0" collapsed="false">
      <c r="A32" s="15"/>
      <c r="B32" s="15"/>
      <c r="C32" s="14" t="n">
        <v>2</v>
      </c>
      <c r="D32" s="15" t="s">
        <v>202</v>
      </c>
      <c r="E32" s="15" t="s">
        <v>203</v>
      </c>
      <c r="F32" s="15" t="s">
        <v>204</v>
      </c>
      <c r="G32" s="15" t="s">
        <v>205</v>
      </c>
      <c r="H32" s="15" t="s">
        <v>206</v>
      </c>
    </row>
    <row r="33" customFormat="false" ht="15" hidden="false" customHeight="false" outlineLevel="0" collapsed="false">
      <c r="A33" s="15"/>
      <c r="B33" s="15"/>
      <c r="C33" s="14" t="n">
        <v>3</v>
      </c>
      <c r="D33" s="15" t="s">
        <v>207</v>
      </c>
      <c r="E33" s="15" t="s">
        <v>208</v>
      </c>
      <c r="F33" s="15" t="s">
        <v>209</v>
      </c>
      <c r="G33" s="15" t="s">
        <v>210</v>
      </c>
      <c r="H33" s="15" t="s">
        <v>211</v>
      </c>
    </row>
    <row r="34" customFormat="false" ht="15" hidden="false" customHeight="false" outlineLevel="0" collapsed="false">
      <c r="A34" s="15"/>
      <c r="B34" s="15"/>
      <c r="C34" s="14" t="n">
        <v>4</v>
      </c>
      <c r="D34" s="15" t="s">
        <v>212</v>
      </c>
      <c r="E34" s="15" t="s">
        <v>213</v>
      </c>
      <c r="F34" s="15" t="s">
        <v>214</v>
      </c>
      <c r="G34" s="15" t="s">
        <v>215</v>
      </c>
      <c r="H34" s="15" t="s">
        <v>216</v>
      </c>
    </row>
    <row r="35" customFormat="false" ht="15" hidden="false" customHeight="false" outlineLevel="0" collapsed="false">
      <c r="A35" s="16" t="s">
        <v>217</v>
      </c>
      <c r="B35" s="17" t="s">
        <v>218</v>
      </c>
      <c r="C35" s="18" t="n">
        <v>1</v>
      </c>
      <c r="D35" s="19" t="s">
        <v>219</v>
      </c>
      <c r="E35" s="19" t="s">
        <v>220</v>
      </c>
      <c r="F35" s="19" t="s">
        <v>221</v>
      </c>
      <c r="G35" s="19" t="s">
        <v>222</v>
      </c>
      <c r="H35" s="19" t="s">
        <v>223</v>
      </c>
    </row>
    <row r="36" customFormat="false" ht="15" hidden="false" customHeight="false" outlineLevel="0" collapsed="false">
      <c r="A36" s="19"/>
      <c r="B36" s="19"/>
      <c r="C36" s="18" t="n">
        <v>2</v>
      </c>
      <c r="D36" s="19" t="s">
        <v>224</v>
      </c>
      <c r="E36" s="19" t="s">
        <v>225</v>
      </c>
      <c r="F36" s="19" t="s">
        <v>226</v>
      </c>
      <c r="G36" s="19" t="s">
        <v>227</v>
      </c>
      <c r="H36" s="19" t="s">
        <v>228</v>
      </c>
    </row>
    <row r="37" customFormat="false" ht="23.85" hidden="false" customHeight="false" outlineLevel="0" collapsed="false">
      <c r="A37" s="19"/>
      <c r="B37" s="19"/>
      <c r="C37" s="18" t="n">
        <v>3</v>
      </c>
      <c r="D37" s="19" t="s">
        <v>229</v>
      </c>
      <c r="E37" s="19" t="s">
        <v>230</v>
      </c>
      <c r="F37" s="19" t="s">
        <v>231</v>
      </c>
      <c r="G37" s="19" t="s">
        <v>232</v>
      </c>
      <c r="H37" s="19" t="s">
        <v>233</v>
      </c>
    </row>
    <row r="38" customFormat="false" ht="15" hidden="false" customHeight="false" outlineLevel="0" collapsed="false">
      <c r="A38" s="19"/>
      <c r="B38" s="19"/>
      <c r="C38" s="18" t="n">
        <v>4</v>
      </c>
      <c r="D38" s="19" t="s">
        <v>234</v>
      </c>
      <c r="E38" s="19" t="s">
        <v>235</v>
      </c>
      <c r="F38" s="19" t="s">
        <v>236</v>
      </c>
      <c r="G38" s="19" t="s">
        <v>237</v>
      </c>
      <c r="H38" s="19" t="s">
        <v>238</v>
      </c>
    </row>
    <row r="39" customFormat="false" ht="23.85" hidden="false" customHeight="false" outlineLevel="0" collapsed="false">
      <c r="A39" s="12" t="s">
        <v>239</v>
      </c>
      <c r="B39" s="13" t="s">
        <v>240</v>
      </c>
      <c r="C39" s="14" t="n">
        <v>1</v>
      </c>
      <c r="D39" s="15" t="s">
        <v>241</v>
      </c>
      <c r="E39" s="15" t="s">
        <v>242</v>
      </c>
      <c r="F39" s="15" t="s">
        <v>243</v>
      </c>
      <c r="G39" s="15" t="s">
        <v>244</v>
      </c>
      <c r="H39" s="15" t="s">
        <v>245</v>
      </c>
    </row>
    <row r="40" customFormat="false" ht="23.85" hidden="false" customHeight="false" outlineLevel="0" collapsed="false">
      <c r="A40" s="15"/>
      <c r="B40" s="15"/>
      <c r="C40" s="14" t="n">
        <v>2</v>
      </c>
      <c r="D40" s="15" t="s">
        <v>246</v>
      </c>
      <c r="E40" s="15" t="s">
        <v>247</v>
      </c>
      <c r="F40" s="15" t="s">
        <v>248</v>
      </c>
      <c r="G40" s="15" t="s">
        <v>249</v>
      </c>
      <c r="H40" s="15" t="s">
        <v>250</v>
      </c>
    </row>
    <row r="41" customFormat="false" ht="23.85" hidden="false" customHeight="false" outlineLevel="0" collapsed="false">
      <c r="A41" s="15"/>
      <c r="B41" s="15"/>
      <c r="C41" s="14" t="n">
        <v>3</v>
      </c>
      <c r="D41" s="15" t="s">
        <v>251</v>
      </c>
      <c r="E41" s="15" t="s">
        <v>247</v>
      </c>
      <c r="F41" s="15" t="s">
        <v>252</v>
      </c>
      <c r="G41" s="15" t="s">
        <v>253</v>
      </c>
      <c r="H41" s="15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34.5" hidden="false" customHeight="true" outlineLevel="0" collapsed="false">
      <c r="A2" s="15" t="s">
        <v>267</v>
      </c>
      <c r="B2" s="15" t="s">
        <v>268</v>
      </c>
      <c r="C2" s="15" t="s">
        <v>269</v>
      </c>
      <c r="D2" s="14" t="s">
        <v>270</v>
      </c>
      <c r="E2" s="15" t="s">
        <v>271</v>
      </c>
      <c r="F2" s="15" t="s">
        <v>272</v>
      </c>
      <c r="G2" s="15" t="s">
        <v>273</v>
      </c>
      <c r="H2" s="15" t="s">
        <v>274</v>
      </c>
      <c r="I2" s="14" t="s">
        <v>275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276</v>
      </c>
      <c r="B3" s="15" t="s">
        <v>268</v>
      </c>
      <c r="C3" s="15" t="s">
        <v>277</v>
      </c>
      <c r="D3" s="14" t="s">
        <v>270</v>
      </c>
      <c r="E3" s="15" t="s">
        <v>278</v>
      </c>
      <c r="F3" s="15" t="s">
        <v>279</v>
      </c>
      <c r="G3" s="15" t="s">
        <v>280</v>
      </c>
      <c r="H3" s="15" t="s">
        <v>281</v>
      </c>
      <c r="I3" s="14" t="s">
        <v>275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282</v>
      </c>
      <c r="B4" s="15" t="s">
        <v>268</v>
      </c>
      <c r="C4" s="15" t="s">
        <v>283</v>
      </c>
      <c r="D4" s="14" t="s">
        <v>284</v>
      </c>
      <c r="E4" s="15" t="s">
        <v>278</v>
      </c>
      <c r="F4" s="15" t="s">
        <v>285</v>
      </c>
      <c r="G4" s="15" t="s">
        <v>286</v>
      </c>
      <c r="H4" s="15" t="s">
        <v>287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289</v>
      </c>
      <c r="B5" s="15" t="s">
        <v>268</v>
      </c>
      <c r="C5" s="15" t="s">
        <v>290</v>
      </c>
      <c r="D5" s="14" t="s">
        <v>284</v>
      </c>
      <c r="E5" s="15" t="s">
        <v>214</v>
      </c>
      <c r="F5" s="15" t="s">
        <v>291</v>
      </c>
      <c r="G5" s="15" t="s">
        <v>292</v>
      </c>
      <c r="H5" s="15" t="s">
        <v>293</v>
      </c>
      <c r="I5" s="14" t="s">
        <v>294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68</v>
      </c>
      <c r="B6" s="15" t="s">
        <v>268</v>
      </c>
      <c r="C6" s="15" t="s">
        <v>295</v>
      </c>
      <c r="D6" s="14" t="s">
        <v>270</v>
      </c>
      <c r="E6" s="15" t="s">
        <v>296</v>
      </c>
      <c r="F6" s="15" t="s">
        <v>297</v>
      </c>
      <c r="G6" s="15" t="s">
        <v>214</v>
      </c>
      <c r="H6" s="15" t="s">
        <v>298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299</v>
      </c>
      <c r="B7" s="15" t="s">
        <v>300</v>
      </c>
      <c r="C7" s="15" t="s">
        <v>301</v>
      </c>
      <c r="D7" s="14" t="s">
        <v>284</v>
      </c>
      <c r="E7" s="15" t="s">
        <v>302</v>
      </c>
      <c r="F7" s="15" t="s">
        <v>303</v>
      </c>
      <c r="G7" s="15" t="s">
        <v>304</v>
      </c>
      <c r="H7" s="15" t="s">
        <v>305</v>
      </c>
      <c r="I7" s="14" t="s">
        <v>275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306</v>
      </c>
      <c r="B8" s="15" t="s">
        <v>268</v>
      </c>
      <c r="C8" s="15" t="s">
        <v>307</v>
      </c>
      <c r="D8" s="14" t="s">
        <v>284</v>
      </c>
      <c r="E8" s="15" t="s">
        <v>308</v>
      </c>
      <c r="F8" s="15" t="s">
        <v>309</v>
      </c>
      <c r="G8" s="15" t="s">
        <v>214</v>
      </c>
      <c r="H8" s="15" t="s">
        <v>310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64</v>
      </c>
      <c r="B9" s="15" t="s">
        <v>268</v>
      </c>
      <c r="C9" s="15" t="s">
        <v>311</v>
      </c>
      <c r="D9" s="14" t="s">
        <v>270</v>
      </c>
      <c r="E9" s="15" t="s">
        <v>312</v>
      </c>
      <c r="F9" s="15" t="s">
        <v>313</v>
      </c>
      <c r="G9" s="15" t="s">
        <v>214</v>
      </c>
      <c r="H9" s="15" t="s">
        <v>314</v>
      </c>
      <c r="I9" s="14" t="s">
        <v>294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315</v>
      </c>
      <c r="B10" s="15" t="s">
        <v>268</v>
      </c>
      <c r="C10" s="15" t="s">
        <v>316</v>
      </c>
      <c r="D10" s="14" t="s">
        <v>284</v>
      </c>
      <c r="E10" s="15" t="s">
        <v>317</v>
      </c>
      <c r="F10" s="15" t="s">
        <v>318</v>
      </c>
      <c r="G10" s="15" t="s">
        <v>214</v>
      </c>
      <c r="H10" s="15" t="s">
        <v>319</v>
      </c>
      <c r="I10" s="14" t="s">
        <v>294</v>
      </c>
      <c r="J10" s="14" t="s">
        <v>21</v>
      </c>
      <c r="K10" s="15"/>
      <c r="L10" s="15"/>
      <c r="M10" s="15"/>
      <c r="N10" s="15"/>
    </row>
    <row r="11" customFormat="false" ht="34.5" hidden="false" customHeight="true" outlineLevel="0" collapsed="false">
      <c r="A11" s="15" t="s">
        <v>320</v>
      </c>
      <c r="B11" s="15" t="s">
        <v>268</v>
      </c>
      <c r="C11" s="15" t="s">
        <v>321</v>
      </c>
      <c r="D11" s="14" t="s">
        <v>270</v>
      </c>
      <c r="E11" s="15" t="s">
        <v>322</v>
      </c>
      <c r="F11" s="15" t="s">
        <v>323</v>
      </c>
      <c r="G11" s="15" t="s">
        <v>214</v>
      </c>
      <c r="H11" s="15" t="s">
        <v>324</v>
      </c>
      <c r="I11" s="14" t="s">
        <v>275</v>
      </c>
      <c r="J11" s="14" t="s">
        <v>21</v>
      </c>
      <c r="K11" s="15"/>
      <c r="L11" s="15"/>
      <c r="M11" s="15"/>
      <c r="N11" s="15"/>
    </row>
    <row r="12" customFormat="false" ht="23.25" hidden="false" customHeight="true" outlineLevel="0" collapsed="false">
      <c r="A12" s="15" t="s">
        <v>325</v>
      </c>
      <c r="B12" s="15" t="s">
        <v>300</v>
      </c>
      <c r="C12" s="15" t="s">
        <v>326</v>
      </c>
      <c r="D12" s="14" t="s">
        <v>327</v>
      </c>
      <c r="E12" s="15" t="s">
        <v>328</v>
      </c>
      <c r="F12" s="15" t="s">
        <v>329</v>
      </c>
      <c r="G12" s="15" t="s">
        <v>214</v>
      </c>
      <c r="H12" s="15" t="s">
        <v>330</v>
      </c>
      <c r="I12" s="14" t="s">
        <v>288</v>
      </c>
      <c r="J12" s="14" t="s">
        <v>21</v>
      </c>
      <c r="K12" s="15"/>
      <c r="L12" s="15"/>
      <c r="M12" s="15"/>
      <c r="N12" s="15"/>
    </row>
    <row r="13" customFormat="false" ht="23.25" hidden="false" customHeight="true" outlineLevel="0" collapsed="false">
      <c r="A13" s="15" t="s">
        <v>331</v>
      </c>
      <c r="B13" s="15" t="s">
        <v>268</v>
      </c>
      <c r="C13" s="15" t="s">
        <v>332</v>
      </c>
      <c r="D13" s="14" t="s">
        <v>270</v>
      </c>
      <c r="E13" s="15" t="s">
        <v>333</v>
      </c>
      <c r="F13" s="15" t="s">
        <v>334</v>
      </c>
      <c r="G13" s="15" t="s">
        <v>214</v>
      </c>
      <c r="H13" s="15" t="s">
        <v>335</v>
      </c>
      <c r="I13" s="14" t="s">
        <v>275</v>
      </c>
      <c r="J13" s="14" t="s">
        <v>21</v>
      </c>
      <c r="K13" s="15"/>
      <c r="L13" s="15"/>
      <c r="M13" s="15"/>
      <c r="N13" s="15"/>
    </row>
  </sheetData>
  <conditionalFormatting sqref="J2:J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3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3" type="list">
      <formula1>"P0,P1,P2,P3"</formula1>
      <formula2>0</formula2>
    </dataValidation>
    <dataValidation allowBlank="true" errorStyle="stop" operator="between" showDropDown="false" showErrorMessage="false" showInputMessage="false" sqref="I2:I13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336</v>
      </c>
      <c r="B2" s="15" t="s">
        <v>100</v>
      </c>
      <c r="C2" s="15" t="s">
        <v>337</v>
      </c>
      <c r="D2" s="14" t="s">
        <v>270</v>
      </c>
      <c r="E2" s="15" t="s">
        <v>338</v>
      </c>
      <c r="F2" s="15" t="s">
        <v>339</v>
      </c>
      <c r="G2" s="15" t="s">
        <v>340</v>
      </c>
      <c r="H2" s="15" t="s">
        <v>341</v>
      </c>
      <c r="I2" s="14" t="s">
        <v>275</v>
      </c>
      <c r="J2" s="14" t="s">
        <v>21</v>
      </c>
      <c r="K2" s="15"/>
      <c r="L2" s="15"/>
      <c r="M2" s="15"/>
      <c r="N2" s="15"/>
    </row>
    <row r="3" customFormat="false" ht="34.5" hidden="false" customHeight="true" outlineLevel="0" collapsed="false">
      <c r="A3" s="15" t="s">
        <v>342</v>
      </c>
      <c r="B3" s="15" t="s">
        <v>100</v>
      </c>
      <c r="C3" s="15" t="s">
        <v>343</v>
      </c>
      <c r="D3" s="14" t="s">
        <v>270</v>
      </c>
      <c r="E3" s="15" t="s">
        <v>344</v>
      </c>
      <c r="F3" s="15" t="s">
        <v>345</v>
      </c>
      <c r="G3" s="15" t="s">
        <v>346</v>
      </c>
      <c r="H3" s="15" t="s">
        <v>347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348</v>
      </c>
      <c r="B4" s="15" t="s">
        <v>100</v>
      </c>
      <c r="C4" s="15" t="s">
        <v>349</v>
      </c>
      <c r="D4" s="14" t="s">
        <v>270</v>
      </c>
      <c r="E4" s="15" t="s">
        <v>350</v>
      </c>
      <c r="F4" s="15" t="s">
        <v>351</v>
      </c>
      <c r="G4" s="15" t="s">
        <v>352</v>
      </c>
      <c r="H4" s="15" t="s">
        <v>353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354</v>
      </c>
      <c r="B5" s="15" t="s">
        <v>100</v>
      </c>
      <c r="C5" s="15" t="s">
        <v>355</v>
      </c>
      <c r="D5" s="14" t="s">
        <v>284</v>
      </c>
      <c r="E5" s="15" t="s">
        <v>356</v>
      </c>
      <c r="F5" s="15" t="s">
        <v>357</v>
      </c>
      <c r="G5" s="15" t="s">
        <v>214</v>
      </c>
      <c r="H5" s="15" t="s">
        <v>358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359</v>
      </c>
      <c r="B6" s="15" t="s">
        <v>100</v>
      </c>
      <c r="C6" s="15" t="s">
        <v>360</v>
      </c>
      <c r="D6" s="14" t="s">
        <v>284</v>
      </c>
      <c r="E6" s="15" t="s">
        <v>361</v>
      </c>
      <c r="F6" s="15" t="s">
        <v>339</v>
      </c>
      <c r="G6" s="15" t="s">
        <v>362</v>
      </c>
      <c r="H6" s="15" t="s">
        <v>363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364</v>
      </c>
      <c r="B7" s="15" t="s">
        <v>100</v>
      </c>
      <c r="C7" s="15" t="s">
        <v>365</v>
      </c>
      <c r="D7" s="14" t="s">
        <v>284</v>
      </c>
      <c r="E7" s="15" t="s">
        <v>366</v>
      </c>
      <c r="F7" s="15" t="s">
        <v>367</v>
      </c>
      <c r="G7" s="15" t="s">
        <v>368</v>
      </c>
      <c r="H7" s="15" t="s">
        <v>369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370</v>
      </c>
      <c r="B8" s="15" t="s">
        <v>100</v>
      </c>
      <c r="C8" s="15" t="s">
        <v>371</v>
      </c>
      <c r="D8" s="14" t="s">
        <v>270</v>
      </c>
      <c r="E8" s="15" t="s">
        <v>372</v>
      </c>
      <c r="F8" s="15" t="s">
        <v>339</v>
      </c>
      <c r="G8" s="15" t="s">
        <v>373</v>
      </c>
      <c r="H8" s="15" t="s">
        <v>374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375</v>
      </c>
      <c r="B9" s="15" t="s">
        <v>100</v>
      </c>
      <c r="C9" s="15" t="s">
        <v>376</v>
      </c>
      <c r="D9" s="14" t="s">
        <v>284</v>
      </c>
      <c r="E9" s="15" t="s">
        <v>377</v>
      </c>
      <c r="F9" s="15" t="s">
        <v>378</v>
      </c>
      <c r="G9" s="15" t="s">
        <v>214</v>
      </c>
      <c r="H9" s="15" t="s">
        <v>379</v>
      </c>
      <c r="I9" s="14" t="s">
        <v>288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380</v>
      </c>
      <c r="B10" s="15" t="s">
        <v>100</v>
      </c>
      <c r="C10" s="15" t="s">
        <v>381</v>
      </c>
      <c r="D10" s="14" t="s">
        <v>284</v>
      </c>
      <c r="E10" s="15" t="s">
        <v>322</v>
      </c>
      <c r="F10" s="15" t="s">
        <v>382</v>
      </c>
      <c r="G10" s="15" t="s">
        <v>214</v>
      </c>
      <c r="H10" s="15" t="s">
        <v>383</v>
      </c>
      <c r="I10" s="14" t="s">
        <v>288</v>
      </c>
      <c r="J10" s="14" t="s">
        <v>21</v>
      </c>
      <c r="K10" s="15"/>
      <c r="L10" s="15"/>
      <c r="M10" s="15"/>
      <c r="N10" s="15"/>
    </row>
    <row r="11" customFormat="false" ht="23.25" hidden="false" customHeight="true" outlineLevel="0" collapsed="false">
      <c r="A11" s="15" t="s">
        <v>384</v>
      </c>
      <c r="B11" s="15" t="s">
        <v>100</v>
      </c>
      <c r="C11" s="15" t="s">
        <v>385</v>
      </c>
      <c r="D11" s="14" t="s">
        <v>327</v>
      </c>
      <c r="E11" s="15" t="s">
        <v>296</v>
      </c>
      <c r="F11" s="15" t="s">
        <v>386</v>
      </c>
      <c r="G11" s="15" t="s">
        <v>214</v>
      </c>
      <c r="H11" s="15" t="s">
        <v>387</v>
      </c>
      <c r="I11" s="14" t="s">
        <v>288</v>
      </c>
      <c r="J11" s="14" t="s">
        <v>21</v>
      </c>
      <c r="K11" s="15"/>
      <c r="L11" s="15"/>
      <c r="M11" s="15"/>
      <c r="N11" s="15"/>
    </row>
    <row r="12" customFormat="false" ht="15" hidden="false" customHeight="true" outlineLevel="0" collapsed="false">
      <c r="A12" s="15" t="s">
        <v>388</v>
      </c>
      <c r="B12" s="15" t="s">
        <v>100</v>
      </c>
      <c r="C12" s="15" t="s">
        <v>389</v>
      </c>
      <c r="D12" s="14" t="s">
        <v>284</v>
      </c>
      <c r="E12" s="15" t="s">
        <v>322</v>
      </c>
      <c r="F12" s="15" t="s">
        <v>390</v>
      </c>
      <c r="G12" s="15" t="s">
        <v>214</v>
      </c>
      <c r="H12" s="15" t="s">
        <v>391</v>
      </c>
      <c r="I12" s="14" t="s">
        <v>288</v>
      </c>
      <c r="J12" s="14" t="s">
        <v>21</v>
      </c>
      <c r="K12" s="15"/>
      <c r="L12" s="15"/>
      <c r="M12" s="15"/>
      <c r="N12" s="15"/>
    </row>
    <row r="13" customFormat="false" ht="23.25" hidden="false" customHeight="true" outlineLevel="0" collapsed="false">
      <c r="A13" s="15" t="s">
        <v>392</v>
      </c>
      <c r="B13" s="15" t="s">
        <v>100</v>
      </c>
      <c r="C13" s="15" t="s">
        <v>393</v>
      </c>
      <c r="D13" s="14" t="s">
        <v>270</v>
      </c>
      <c r="E13" s="15" t="s">
        <v>394</v>
      </c>
      <c r="F13" s="15" t="s">
        <v>395</v>
      </c>
      <c r="G13" s="15" t="s">
        <v>214</v>
      </c>
      <c r="H13" s="15" t="s">
        <v>396</v>
      </c>
      <c r="I13" s="14" t="s">
        <v>288</v>
      </c>
      <c r="J13" s="14" t="s">
        <v>21</v>
      </c>
      <c r="K13" s="15"/>
      <c r="L13" s="15"/>
      <c r="M13" s="15"/>
      <c r="N13" s="15"/>
    </row>
  </sheetData>
  <conditionalFormatting sqref="J2:J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3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3" type="list">
      <formula1>"P0,P1,P2,P3"</formula1>
      <formula2>0</formula2>
    </dataValidation>
    <dataValidation allowBlank="true" errorStyle="stop" operator="between" showDropDown="false" showErrorMessage="false" showInputMessage="false" sqref="I2:I13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397</v>
      </c>
      <c r="B2" s="15" t="s">
        <v>29</v>
      </c>
      <c r="C2" s="15" t="s">
        <v>398</v>
      </c>
      <c r="D2" s="14" t="s">
        <v>270</v>
      </c>
      <c r="E2" s="15" t="s">
        <v>399</v>
      </c>
      <c r="F2" s="15" t="s">
        <v>400</v>
      </c>
      <c r="G2" s="15" t="s">
        <v>214</v>
      </c>
      <c r="H2" s="15" t="s">
        <v>401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15" hidden="false" customHeight="true" outlineLevel="0" collapsed="false">
      <c r="A3" s="15" t="s">
        <v>402</v>
      </c>
      <c r="B3" s="15" t="s">
        <v>29</v>
      </c>
      <c r="C3" s="15" t="s">
        <v>371</v>
      </c>
      <c r="D3" s="14" t="s">
        <v>270</v>
      </c>
      <c r="E3" s="15" t="s">
        <v>403</v>
      </c>
      <c r="F3" s="15" t="s">
        <v>404</v>
      </c>
      <c r="G3" s="15" t="s">
        <v>214</v>
      </c>
      <c r="H3" s="15" t="s">
        <v>405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406</v>
      </c>
      <c r="B4" s="15" t="s">
        <v>29</v>
      </c>
      <c r="C4" s="15" t="s">
        <v>407</v>
      </c>
      <c r="D4" s="14" t="s">
        <v>270</v>
      </c>
      <c r="E4" s="15" t="s">
        <v>408</v>
      </c>
      <c r="F4" s="15" t="s">
        <v>404</v>
      </c>
      <c r="G4" s="15" t="s">
        <v>214</v>
      </c>
      <c r="H4" s="15" t="s">
        <v>409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410</v>
      </c>
      <c r="B5" s="15" t="s">
        <v>29</v>
      </c>
      <c r="C5" s="15" t="s">
        <v>411</v>
      </c>
      <c r="D5" s="14" t="s">
        <v>270</v>
      </c>
      <c r="E5" s="15" t="s">
        <v>412</v>
      </c>
      <c r="F5" s="15" t="s">
        <v>413</v>
      </c>
      <c r="G5" s="15" t="s">
        <v>214</v>
      </c>
      <c r="H5" s="15" t="s">
        <v>414</v>
      </c>
      <c r="I5" s="14" t="s">
        <v>275</v>
      </c>
      <c r="J5" s="14" t="s">
        <v>21</v>
      </c>
      <c r="K5" s="15"/>
      <c r="L5" s="15"/>
      <c r="M5" s="15"/>
      <c r="N5" s="15"/>
    </row>
    <row r="6" customFormat="false" ht="15" hidden="false" customHeight="true" outlineLevel="0" collapsed="false">
      <c r="A6" s="15" t="s">
        <v>415</v>
      </c>
      <c r="B6" s="15" t="s">
        <v>29</v>
      </c>
      <c r="C6" s="15" t="s">
        <v>416</v>
      </c>
      <c r="D6" s="14" t="s">
        <v>284</v>
      </c>
      <c r="E6" s="15" t="s">
        <v>417</v>
      </c>
      <c r="F6" s="15" t="s">
        <v>418</v>
      </c>
      <c r="G6" s="15" t="s">
        <v>419</v>
      </c>
      <c r="H6" s="15" t="s">
        <v>420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421</v>
      </c>
      <c r="B7" s="15" t="s">
        <v>29</v>
      </c>
      <c r="C7" s="15" t="s">
        <v>422</v>
      </c>
      <c r="D7" s="14" t="s">
        <v>284</v>
      </c>
      <c r="E7" s="15" t="s">
        <v>423</v>
      </c>
      <c r="F7" s="15" t="s">
        <v>424</v>
      </c>
      <c r="G7" s="15" t="s">
        <v>214</v>
      </c>
      <c r="H7" s="15" t="s">
        <v>425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426</v>
      </c>
      <c r="B8" s="15" t="s">
        <v>29</v>
      </c>
      <c r="C8" s="15" t="s">
        <v>427</v>
      </c>
      <c r="D8" s="14" t="s">
        <v>284</v>
      </c>
      <c r="E8" s="15" t="s">
        <v>428</v>
      </c>
      <c r="F8" s="15" t="s">
        <v>429</v>
      </c>
      <c r="G8" s="15" t="s">
        <v>430</v>
      </c>
      <c r="H8" s="15" t="s">
        <v>431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432</v>
      </c>
      <c r="B9" s="15" t="s">
        <v>29</v>
      </c>
      <c r="C9" s="15" t="s">
        <v>433</v>
      </c>
      <c r="D9" s="14" t="s">
        <v>327</v>
      </c>
      <c r="E9" s="15" t="s">
        <v>434</v>
      </c>
      <c r="F9" s="15" t="s">
        <v>435</v>
      </c>
      <c r="G9" s="15" t="s">
        <v>214</v>
      </c>
      <c r="H9" s="15" t="s">
        <v>436</v>
      </c>
      <c r="I9" s="14" t="s">
        <v>288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437</v>
      </c>
      <c r="B10" s="15" t="s">
        <v>29</v>
      </c>
      <c r="C10" s="15" t="s">
        <v>438</v>
      </c>
      <c r="D10" s="14" t="s">
        <v>284</v>
      </c>
      <c r="E10" s="15" t="s">
        <v>439</v>
      </c>
      <c r="F10" s="15" t="s">
        <v>440</v>
      </c>
      <c r="G10" s="15" t="s">
        <v>441</v>
      </c>
      <c r="H10" s="15" t="s">
        <v>442</v>
      </c>
      <c r="I10" s="14" t="s">
        <v>288</v>
      </c>
      <c r="J10" s="14" t="s">
        <v>21</v>
      </c>
      <c r="K10" s="15"/>
      <c r="L10" s="15"/>
      <c r="M10" s="15"/>
      <c r="N10" s="15"/>
    </row>
    <row r="11" customFormat="false" ht="15" hidden="false" customHeight="true" outlineLevel="0" collapsed="false">
      <c r="A11" s="15" t="s">
        <v>443</v>
      </c>
      <c r="B11" s="15" t="s">
        <v>29</v>
      </c>
      <c r="C11" s="15" t="s">
        <v>444</v>
      </c>
      <c r="D11" s="14" t="s">
        <v>284</v>
      </c>
      <c r="E11" s="15" t="s">
        <v>445</v>
      </c>
      <c r="F11" s="15" t="s">
        <v>446</v>
      </c>
      <c r="G11" s="15" t="s">
        <v>214</v>
      </c>
      <c r="H11" s="15" t="s">
        <v>447</v>
      </c>
      <c r="I11" s="14" t="s">
        <v>288</v>
      </c>
      <c r="J11" s="14" t="s">
        <v>21</v>
      </c>
      <c r="K11" s="15"/>
      <c r="L11" s="15"/>
      <c r="M11" s="15"/>
      <c r="N11" s="15"/>
    </row>
    <row r="12" customFormat="false" ht="23.25" hidden="false" customHeight="true" outlineLevel="0" collapsed="false">
      <c r="A12" s="15" t="s">
        <v>448</v>
      </c>
      <c r="B12" s="15" t="s">
        <v>29</v>
      </c>
      <c r="C12" s="15" t="s">
        <v>449</v>
      </c>
      <c r="D12" s="14" t="s">
        <v>270</v>
      </c>
      <c r="E12" s="15" t="s">
        <v>115</v>
      </c>
      <c r="F12" s="15" t="s">
        <v>450</v>
      </c>
      <c r="G12" s="15" t="s">
        <v>214</v>
      </c>
      <c r="H12" s="15" t="s">
        <v>451</v>
      </c>
      <c r="I12" s="14" t="s">
        <v>294</v>
      </c>
      <c r="J12" s="14" t="s">
        <v>21</v>
      </c>
      <c r="K12" s="15"/>
      <c r="L12" s="15"/>
      <c r="M12" s="15"/>
      <c r="N12" s="15"/>
    </row>
    <row r="13" customFormat="false" ht="15" hidden="false" customHeight="true" outlineLevel="0" collapsed="false">
      <c r="A13" s="15" t="s">
        <v>452</v>
      </c>
      <c r="B13" s="15" t="s">
        <v>29</v>
      </c>
      <c r="C13" s="15" t="s">
        <v>453</v>
      </c>
      <c r="D13" s="14" t="s">
        <v>327</v>
      </c>
      <c r="E13" s="15" t="s">
        <v>454</v>
      </c>
      <c r="F13" s="15" t="s">
        <v>455</v>
      </c>
      <c r="G13" s="15" t="s">
        <v>214</v>
      </c>
      <c r="H13" s="15" t="s">
        <v>456</v>
      </c>
      <c r="I13" s="14" t="s">
        <v>288</v>
      </c>
      <c r="J13" s="14" t="s">
        <v>21</v>
      </c>
      <c r="K13" s="15"/>
      <c r="L13" s="15"/>
      <c r="M13" s="15"/>
      <c r="N13" s="15"/>
    </row>
  </sheetData>
  <conditionalFormatting sqref="J2:J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3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3" type="list">
      <formula1>"P0,P1,P2,P3"</formula1>
      <formula2>0</formula2>
    </dataValidation>
    <dataValidation allowBlank="true" errorStyle="stop" operator="between" showDropDown="false" showErrorMessage="false" showInputMessage="false" sqref="I2:I13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457</v>
      </c>
      <c r="B2" s="15" t="s">
        <v>30</v>
      </c>
      <c r="C2" s="15" t="s">
        <v>458</v>
      </c>
      <c r="D2" s="14" t="s">
        <v>270</v>
      </c>
      <c r="E2" s="15" t="s">
        <v>322</v>
      </c>
      <c r="F2" s="15" t="s">
        <v>459</v>
      </c>
      <c r="G2" s="15" t="s">
        <v>214</v>
      </c>
      <c r="H2" s="15" t="s">
        <v>460</v>
      </c>
      <c r="I2" s="14" t="s">
        <v>275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461</v>
      </c>
      <c r="B3" s="15" t="s">
        <v>30</v>
      </c>
      <c r="C3" s="15" t="s">
        <v>462</v>
      </c>
      <c r="D3" s="14" t="s">
        <v>270</v>
      </c>
      <c r="E3" s="15" t="s">
        <v>463</v>
      </c>
      <c r="F3" s="15" t="s">
        <v>464</v>
      </c>
      <c r="G3" s="15" t="s">
        <v>214</v>
      </c>
      <c r="H3" s="15" t="s">
        <v>465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15" hidden="false" customHeight="true" outlineLevel="0" collapsed="false">
      <c r="A4" s="15" t="s">
        <v>466</v>
      </c>
      <c r="B4" s="15" t="s">
        <v>30</v>
      </c>
      <c r="C4" s="15" t="s">
        <v>467</v>
      </c>
      <c r="D4" s="14" t="s">
        <v>284</v>
      </c>
      <c r="E4" s="15" t="s">
        <v>468</v>
      </c>
      <c r="F4" s="15" t="s">
        <v>469</v>
      </c>
      <c r="G4" s="15" t="s">
        <v>214</v>
      </c>
      <c r="H4" s="15" t="s">
        <v>470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471</v>
      </c>
      <c r="B5" s="15" t="s">
        <v>30</v>
      </c>
      <c r="C5" s="15" t="s">
        <v>472</v>
      </c>
      <c r="D5" s="14" t="s">
        <v>284</v>
      </c>
      <c r="E5" s="15" t="s">
        <v>473</v>
      </c>
      <c r="F5" s="15" t="s">
        <v>474</v>
      </c>
      <c r="G5" s="15" t="s">
        <v>214</v>
      </c>
      <c r="H5" s="15" t="s">
        <v>475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476</v>
      </c>
      <c r="B6" s="15" t="s">
        <v>30</v>
      </c>
      <c r="C6" s="15" t="s">
        <v>477</v>
      </c>
      <c r="D6" s="14" t="s">
        <v>284</v>
      </c>
      <c r="E6" s="15" t="s">
        <v>473</v>
      </c>
      <c r="F6" s="15" t="s">
        <v>474</v>
      </c>
      <c r="G6" s="15" t="s">
        <v>214</v>
      </c>
      <c r="H6" s="15" t="s">
        <v>478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144</v>
      </c>
      <c r="B7" s="15" t="s">
        <v>30</v>
      </c>
      <c r="C7" s="15" t="s">
        <v>479</v>
      </c>
      <c r="D7" s="14" t="s">
        <v>284</v>
      </c>
      <c r="E7" s="15" t="s">
        <v>480</v>
      </c>
      <c r="F7" s="15" t="s">
        <v>481</v>
      </c>
      <c r="G7" s="15" t="s">
        <v>482</v>
      </c>
      <c r="H7" s="15" t="s">
        <v>483</v>
      </c>
      <c r="I7" s="14" t="s">
        <v>484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149</v>
      </c>
      <c r="B8" s="15" t="s">
        <v>30</v>
      </c>
      <c r="C8" s="15" t="s">
        <v>485</v>
      </c>
      <c r="D8" s="14" t="s">
        <v>284</v>
      </c>
      <c r="E8" s="15" t="s">
        <v>356</v>
      </c>
      <c r="F8" s="15" t="s">
        <v>486</v>
      </c>
      <c r="G8" s="15" t="s">
        <v>214</v>
      </c>
      <c r="H8" s="15" t="s">
        <v>487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15" hidden="false" customHeight="true" outlineLevel="0" collapsed="false">
      <c r="A9" s="15" t="s">
        <v>488</v>
      </c>
      <c r="B9" s="15" t="s">
        <v>30</v>
      </c>
      <c r="C9" s="15" t="s">
        <v>489</v>
      </c>
      <c r="D9" s="14" t="s">
        <v>327</v>
      </c>
      <c r="E9" s="15" t="s">
        <v>296</v>
      </c>
      <c r="F9" s="15" t="s">
        <v>490</v>
      </c>
      <c r="G9" s="15" t="s">
        <v>214</v>
      </c>
      <c r="H9" s="15" t="s">
        <v>491</v>
      </c>
      <c r="I9" s="14" t="s">
        <v>288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492</v>
      </c>
      <c r="B10" s="15" t="s">
        <v>30</v>
      </c>
      <c r="C10" s="15" t="s">
        <v>493</v>
      </c>
      <c r="D10" s="14" t="s">
        <v>327</v>
      </c>
      <c r="E10" s="15" t="s">
        <v>494</v>
      </c>
      <c r="F10" s="15" t="s">
        <v>495</v>
      </c>
      <c r="G10" s="15" t="s">
        <v>496</v>
      </c>
      <c r="H10" s="15" t="s">
        <v>497</v>
      </c>
      <c r="I10" s="14" t="s">
        <v>288</v>
      </c>
      <c r="J10" s="14" t="s">
        <v>21</v>
      </c>
      <c r="K10" s="15"/>
      <c r="L10" s="15"/>
      <c r="M10" s="15"/>
      <c r="N10" s="15"/>
    </row>
  </sheetData>
  <conditionalFormatting sqref="J2:J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0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0" type="list">
      <formula1>"P0,P1,P2,P3"</formula1>
      <formula2>0</formula2>
    </dataValidation>
    <dataValidation allowBlank="true" errorStyle="stop" operator="between" showDropDown="false" showErrorMessage="false" showInputMessage="false" sqref="I2:I10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498</v>
      </c>
      <c r="B2" s="15" t="s">
        <v>31</v>
      </c>
      <c r="C2" s="15" t="s">
        <v>499</v>
      </c>
      <c r="D2" s="14" t="s">
        <v>270</v>
      </c>
      <c r="E2" s="15" t="s">
        <v>322</v>
      </c>
      <c r="F2" s="15" t="s">
        <v>500</v>
      </c>
      <c r="G2" s="15" t="s">
        <v>214</v>
      </c>
      <c r="H2" s="15" t="s">
        <v>501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502</v>
      </c>
      <c r="B3" s="15" t="s">
        <v>31</v>
      </c>
      <c r="C3" s="15" t="s">
        <v>503</v>
      </c>
      <c r="D3" s="14" t="s">
        <v>270</v>
      </c>
      <c r="E3" s="15" t="s">
        <v>504</v>
      </c>
      <c r="F3" s="15" t="s">
        <v>505</v>
      </c>
      <c r="G3" s="15" t="s">
        <v>506</v>
      </c>
      <c r="H3" s="15" t="s">
        <v>507</v>
      </c>
      <c r="I3" s="14" t="s">
        <v>508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509</v>
      </c>
      <c r="B4" s="15" t="s">
        <v>31</v>
      </c>
      <c r="C4" s="15" t="s">
        <v>510</v>
      </c>
      <c r="D4" s="14" t="s">
        <v>270</v>
      </c>
      <c r="E4" s="15" t="s">
        <v>511</v>
      </c>
      <c r="F4" s="15" t="s">
        <v>512</v>
      </c>
      <c r="G4" s="15" t="s">
        <v>513</v>
      </c>
      <c r="H4" s="15" t="s">
        <v>514</v>
      </c>
      <c r="I4" s="14" t="s">
        <v>508</v>
      </c>
      <c r="J4" s="14" t="s">
        <v>21</v>
      </c>
      <c r="K4" s="15"/>
      <c r="L4" s="15"/>
      <c r="M4" s="15"/>
      <c r="N4" s="15"/>
    </row>
    <row r="5" customFormat="false" ht="15" hidden="false" customHeight="true" outlineLevel="0" collapsed="false">
      <c r="A5" s="15" t="s">
        <v>515</v>
      </c>
      <c r="B5" s="15" t="s">
        <v>31</v>
      </c>
      <c r="C5" s="15" t="s">
        <v>516</v>
      </c>
      <c r="D5" s="14" t="s">
        <v>270</v>
      </c>
      <c r="E5" s="15" t="s">
        <v>517</v>
      </c>
      <c r="F5" s="15" t="s">
        <v>518</v>
      </c>
      <c r="G5" s="15" t="s">
        <v>519</v>
      </c>
      <c r="H5" s="15" t="s">
        <v>520</v>
      </c>
      <c r="I5" s="14" t="s">
        <v>508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521</v>
      </c>
      <c r="B6" s="15" t="s">
        <v>31</v>
      </c>
      <c r="C6" s="15" t="s">
        <v>522</v>
      </c>
      <c r="D6" s="14" t="s">
        <v>270</v>
      </c>
      <c r="E6" s="15" t="s">
        <v>523</v>
      </c>
      <c r="F6" s="15" t="s">
        <v>524</v>
      </c>
      <c r="G6" s="15" t="s">
        <v>525</v>
      </c>
      <c r="H6" s="15" t="s">
        <v>526</v>
      </c>
      <c r="I6" s="14" t="s">
        <v>275</v>
      </c>
      <c r="J6" s="14" t="s">
        <v>21</v>
      </c>
      <c r="K6" s="15"/>
      <c r="L6" s="15"/>
      <c r="M6" s="15"/>
      <c r="N6" s="15"/>
    </row>
    <row r="7" customFormat="false" ht="34.5" hidden="false" customHeight="true" outlineLevel="0" collapsed="false">
      <c r="A7" s="15" t="s">
        <v>527</v>
      </c>
      <c r="B7" s="15" t="s">
        <v>31</v>
      </c>
      <c r="C7" s="15" t="s">
        <v>528</v>
      </c>
      <c r="D7" s="14" t="s">
        <v>270</v>
      </c>
      <c r="E7" s="15" t="s">
        <v>529</v>
      </c>
      <c r="F7" s="15" t="s">
        <v>530</v>
      </c>
      <c r="G7" s="15" t="s">
        <v>531</v>
      </c>
      <c r="H7" s="15" t="s">
        <v>532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533</v>
      </c>
      <c r="B8" s="15" t="s">
        <v>31</v>
      </c>
      <c r="C8" s="15" t="s">
        <v>534</v>
      </c>
      <c r="D8" s="14" t="s">
        <v>284</v>
      </c>
      <c r="E8" s="15" t="s">
        <v>473</v>
      </c>
      <c r="F8" s="15" t="s">
        <v>474</v>
      </c>
      <c r="G8" s="15" t="s">
        <v>214</v>
      </c>
      <c r="H8" s="15" t="s">
        <v>535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34.5" hidden="false" customHeight="true" outlineLevel="0" collapsed="false">
      <c r="A9" s="15" t="s">
        <v>536</v>
      </c>
      <c r="B9" s="15" t="s">
        <v>31</v>
      </c>
      <c r="C9" s="15" t="s">
        <v>537</v>
      </c>
      <c r="D9" s="14" t="s">
        <v>284</v>
      </c>
      <c r="E9" s="15" t="s">
        <v>538</v>
      </c>
      <c r="F9" s="15" t="s">
        <v>539</v>
      </c>
      <c r="G9" s="15" t="s">
        <v>214</v>
      </c>
      <c r="H9" s="15" t="s">
        <v>540</v>
      </c>
      <c r="I9" s="14" t="s">
        <v>288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541</v>
      </c>
      <c r="B10" s="15" t="s">
        <v>31</v>
      </c>
      <c r="C10" s="15" t="s">
        <v>542</v>
      </c>
      <c r="D10" s="14" t="s">
        <v>284</v>
      </c>
      <c r="E10" s="15" t="s">
        <v>543</v>
      </c>
      <c r="F10" s="15" t="s">
        <v>544</v>
      </c>
      <c r="G10" s="15" t="s">
        <v>214</v>
      </c>
      <c r="H10" s="15" t="s">
        <v>545</v>
      </c>
      <c r="I10" s="14" t="s">
        <v>288</v>
      </c>
      <c r="J10" s="14" t="s">
        <v>21</v>
      </c>
      <c r="K10" s="15"/>
      <c r="L10" s="15"/>
      <c r="M10" s="15"/>
      <c r="N10" s="15"/>
    </row>
    <row r="11" customFormat="false" ht="23.25" hidden="false" customHeight="true" outlineLevel="0" collapsed="false">
      <c r="A11" s="15" t="s">
        <v>546</v>
      </c>
      <c r="B11" s="15" t="s">
        <v>31</v>
      </c>
      <c r="C11" s="15" t="s">
        <v>547</v>
      </c>
      <c r="D11" s="14" t="s">
        <v>327</v>
      </c>
      <c r="E11" s="15" t="s">
        <v>548</v>
      </c>
      <c r="F11" s="15" t="s">
        <v>549</v>
      </c>
      <c r="G11" s="15" t="s">
        <v>214</v>
      </c>
      <c r="H11" s="15" t="s">
        <v>550</v>
      </c>
      <c r="I11" s="14" t="s">
        <v>484</v>
      </c>
      <c r="J11" s="14" t="s">
        <v>21</v>
      </c>
      <c r="K11" s="15"/>
      <c r="L11" s="15"/>
      <c r="M11" s="15"/>
      <c r="N11" s="15"/>
    </row>
    <row r="12" customFormat="false" ht="34.5" hidden="false" customHeight="true" outlineLevel="0" collapsed="false">
      <c r="A12" s="15" t="s">
        <v>156</v>
      </c>
      <c r="B12" s="15" t="s">
        <v>31</v>
      </c>
      <c r="C12" s="15" t="s">
        <v>551</v>
      </c>
      <c r="D12" s="14" t="s">
        <v>270</v>
      </c>
      <c r="E12" s="15" t="s">
        <v>552</v>
      </c>
      <c r="F12" s="15" t="s">
        <v>553</v>
      </c>
      <c r="G12" s="15" t="s">
        <v>554</v>
      </c>
      <c r="H12" s="15" t="s">
        <v>555</v>
      </c>
      <c r="I12" s="14" t="s">
        <v>275</v>
      </c>
      <c r="J12" s="14" t="s">
        <v>21</v>
      </c>
      <c r="K12" s="15"/>
      <c r="L12" s="15"/>
      <c r="M12" s="15"/>
      <c r="N12" s="15"/>
    </row>
    <row r="13" customFormat="false" ht="15" hidden="false" customHeight="true" outlineLevel="0" collapsed="false">
      <c r="A13" s="15" t="s">
        <v>556</v>
      </c>
      <c r="B13" s="15" t="s">
        <v>31</v>
      </c>
      <c r="C13" s="15" t="s">
        <v>557</v>
      </c>
      <c r="D13" s="14" t="s">
        <v>327</v>
      </c>
      <c r="E13" s="15" t="s">
        <v>558</v>
      </c>
      <c r="F13" s="15" t="s">
        <v>559</v>
      </c>
      <c r="G13" s="15" t="s">
        <v>214</v>
      </c>
      <c r="H13" s="15" t="s">
        <v>560</v>
      </c>
      <c r="I13" s="14" t="s">
        <v>288</v>
      </c>
      <c r="J13" s="14" t="s">
        <v>21</v>
      </c>
      <c r="K13" s="15"/>
      <c r="L13" s="15"/>
      <c r="M13" s="15"/>
      <c r="N13" s="15"/>
    </row>
  </sheetData>
  <conditionalFormatting sqref="J2:J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3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3" type="list">
      <formula1>"P0,P1,P2,P3"</formula1>
      <formula2>0</formula2>
    </dataValidation>
    <dataValidation allowBlank="true" errorStyle="stop" operator="between" showDropDown="false" showErrorMessage="false" showInputMessage="false" sqref="I2:I13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561</v>
      </c>
      <c r="B2" s="15" t="s">
        <v>562</v>
      </c>
      <c r="C2" s="15" t="s">
        <v>563</v>
      </c>
      <c r="D2" s="14" t="s">
        <v>270</v>
      </c>
      <c r="E2" s="15" t="s">
        <v>564</v>
      </c>
      <c r="F2" s="15" t="s">
        <v>565</v>
      </c>
      <c r="G2" s="15" t="s">
        <v>214</v>
      </c>
      <c r="H2" s="15" t="s">
        <v>566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15" hidden="false" customHeight="true" outlineLevel="0" collapsed="false">
      <c r="A3" s="15" t="s">
        <v>567</v>
      </c>
      <c r="B3" s="15" t="s">
        <v>562</v>
      </c>
      <c r="C3" s="15" t="s">
        <v>568</v>
      </c>
      <c r="D3" s="14" t="s">
        <v>284</v>
      </c>
      <c r="E3" s="15" t="s">
        <v>569</v>
      </c>
      <c r="F3" s="15" t="s">
        <v>570</v>
      </c>
      <c r="G3" s="15" t="s">
        <v>214</v>
      </c>
      <c r="H3" s="15" t="s">
        <v>571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572</v>
      </c>
      <c r="B4" s="15" t="s">
        <v>562</v>
      </c>
      <c r="C4" s="15" t="s">
        <v>573</v>
      </c>
      <c r="D4" s="14" t="s">
        <v>284</v>
      </c>
      <c r="E4" s="15" t="s">
        <v>574</v>
      </c>
      <c r="F4" s="15" t="s">
        <v>575</v>
      </c>
      <c r="G4" s="15" t="s">
        <v>214</v>
      </c>
      <c r="H4" s="15" t="s">
        <v>576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577</v>
      </c>
      <c r="B5" s="15" t="s">
        <v>562</v>
      </c>
      <c r="C5" s="15" t="s">
        <v>578</v>
      </c>
      <c r="D5" s="14" t="s">
        <v>284</v>
      </c>
      <c r="E5" s="15" t="s">
        <v>579</v>
      </c>
      <c r="F5" s="15" t="s">
        <v>565</v>
      </c>
      <c r="G5" s="15" t="s">
        <v>214</v>
      </c>
      <c r="H5" s="15" t="s">
        <v>580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15" hidden="false" customHeight="true" outlineLevel="0" collapsed="false">
      <c r="A6" s="15" t="s">
        <v>581</v>
      </c>
      <c r="B6" s="15" t="s">
        <v>562</v>
      </c>
      <c r="C6" s="15" t="s">
        <v>582</v>
      </c>
      <c r="D6" s="14" t="s">
        <v>327</v>
      </c>
      <c r="E6" s="15" t="s">
        <v>583</v>
      </c>
      <c r="F6" s="15" t="s">
        <v>584</v>
      </c>
      <c r="G6" s="15" t="s">
        <v>214</v>
      </c>
      <c r="H6" s="15" t="s">
        <v>585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586</v>
      </c>
      <c r="B7" s="15" t="s">
        <v>587</v>
      </c>
      <c r="C7" s="15" t="s">
        <v>588</v>
      </c>
      <c r="D7" s="14" t="s">
        <v>270</v>
      </c>
      <c r="E7" s="15" t="s">
        <v>589</v>
      </c>
      <c r="F7" s="15" t="s">
        <v>590</v>
      </c>
      <c r="G7" s="15" t="s">
        <v>214</v>
      </c>
      <c r="H7" s="15" t="s">
        <v>591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15" hidden="false" customHeight="true" outlineLevel="0" collapsed="false">
      <c r="A8" s="15" t="s">
        <v>592</v>
      </c>
      <c r="B8" s="15" t="s">
        <v>587</v>
      </c>
      <c r="C8" s="15" t="s">
        <v>578</v>
      </c>
      <c r="D8" s="14" t="s">
        <v>284</v>
      </c>
      <c r="E8" s="15" t="s">
        <v>593</v>
      </c>
      <c r="F8" s="15" t="s">
        <v>590</v>
      </c>
      <c r="G8" s="15" t="s">
        <v>214</v>
      </c>
      <c r="H8" s="15" t="s">
        <v>594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15" hidden="false" customHeight="true" outlineLevel="0" collapsed="false">
      <c r="A9" s="15" t="s">
        <v>595</v>
      </c>
      <c r="B9" s="15" t="s">
        <v>587</v>
      </c>
      <c r="C9" s="15" t="s">
        <v>596</v>
      </c>
      <c r="D9" s="14" t="s">
        <v>327</v>
      </c>
      <c r="E9" s="15" t="s">
        <v>597</v>
      </c>
      <c r="F9" s="15" t="s">
        <v>598</v>
      </c>
      <c r="G9" s="15" t="s">
        <v>214</v>
      </c>
      <c r="H9" s="15" t="s">
        <v>599</v>
      </c>
      <c r="I9" s="14" t="s">
        <v>288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600</v>
      </c>
      <c r="B10" s="15" t="s">
        <v>587</v>
      </c>
      <c r="C10" s="15" t="s">
        <v>601</v>
      </c>
      <c r="D10" s="14" t="s">
        <v>327</v>
      </c>
      <c r="E10" s="15" t="s">
        <v>602</v>
      </c>
      <c r="F10" s="15" t="s">
        <v>603</v>
      </c>
      <c r="G10" s="15" t="s">
        <v>214</v>
      </c>
      <c r="H10" s="15" t="s">
        <v>604</v>
      </c>
      <c r="I10" s="14" t="s">
        <v>275</v>
      </c>
      <c r="J10" s="14" t="s">
        <v>21</v>
      </c>
      <c r="K10" s="15"/>
      <c r="L10" s="15"/>
      <c r="M10" s="15"/>
      <c r="N10" s="15"/>
    </row>
  </sheetData>
  <conditionalFormatting sqref="J2:J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0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0" type="list">
      <formula1>"P0,P1,P2,P3"</formula1>
      <formula2>0</formula2>
    </dataValidation>
    <dataValidation allowBlank="true" errorStyle="stop" operator="between" showDropDown="false" showErrorMessage="false" showInputMessage="false" sqref="I2:I10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605</v>
      </c>
      <c r="B2" s="15" t="s">
        <v>606</v>
      </c>
      <c r="C2" s="15" t="s">
        <v>607</v>
      </c>
      <c r="D2" s="14" t="s">
        <v>284</v>
      </c>
      <c r="E2" s="15" t="s">
        <v>608</v>
      </c>
      <c r="F2" s="15" t="s">
        <v>609</v>
      </c>
      <c r="G2" s="15" t="s">
        <v>214</v>
      </c>
      <c r="H2" s="15" t="s">
        <v>610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611</v>
      </c>
      <c r="B3" s="15" t="s">
        <v>606</v>
      </c>
      <c r="C3" s="15" t="s">
        <v>612</v>
      </c>
      <c r="D3" s="14" t="s">
        <v>327</v>
      </c>
      <c r="E3" s="15" t="s">
        <v>613</v>
      </c>
      <c r="F3" s="15" t="s">
        <v>609</v>
      </c>
      <c r="G3" s="15" t="s">
        <v>614</v>
      </c>
      <c r="H3" s="15" t="s">
        <v>615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616</v>
      </c>
      <c r="B4" s="15" t="s">
        <v>606</v>
      </c>
      <c r="C4" s="15" t="s">
        <v>617</v>
      </c>
      <c r="D4" s="14" t="s">
        <v>327</v>
      </c>
      <c r="E4" s="15" t="s">
        <v>618</v>
      </c>
      <c r="F4" s="15" t="s">
        <v>619</v>
      </c>
      <c r="G4" s="15" t="s">
        <v>214</v>
      </c>
      <c r="H4" s="15" t="s">
        <v>620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15" hidden="false" customHeight="true" outlineLevel="0" collapsed="false">
      <c r="A5" s="15" t="s">
        <v>621</v>
      </c>
      <c r="B5" s="15" t="s">
        <v>606</v>
      </c>
      <c r="C5" s="15" t="s">
        <v>622</v>
      </c>
      <c r="D5" s="14" t="s">
        <v>327</v>
      </c>
      <c r="E5" s="15" t="s">
        <v>623</v>
      </c>
      <c r="F5" s="15" t="s">
        <v>624</v>
      </c>
      <c r="G5" s="15" t="s">
        <v>214</v>
      </c>
      <c r="H5" s="15" t="s">
        <v>625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626</v>
      </c>
      <c r="B6" s="15" t="s">
        <v>627</v>
      </c>
      <c r="C6" s="15" t="s">
        <v>628</v>
      </c>
      <c r="D6" s="14" t="s">
        <v>270</v>
      </c>
      <c r="E6" s="15" t="s">
        <v>340</v>
      </c>
      <c r="F6" s="15" t="s">
        <v>629</v>
      </c>
      <c r="G6" s="15" t="s">
        <v>214</v>
      </c>
      <c r="H6" s="15" t="s">
        <v>630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15" hidden="false" customHeight="true" outlineLevel="0" collapsed="false">
      <c r="A7" s="15" t="s">
        <v>190</v>
      </c>
      <c r="B7" s="15" t="s">
        <v>627</v>
      </c>
      <c r="C7" s="15" t="s">
        <v>631</v>
      </c>
      <c r="D7" s="14" t="s">
        <v>284</v>
      </c>
      <c r="E7" s="15" t="s">
        <v>632</v>
      </c>
      <c r="F7" s="15" t="s">
        <v>629</v>
      </c>
      <c r="G7" s="15" t="s">
        <v>633</v>
      </c>
      <c r="H7" s="15" t="s">
        <v>634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635</v>
      </c>
      <c r="B8" s="15" t="s">
        <v>627</v>
      </c>
      <c r="C8" s="15" t="s">
        <v>636</v>
      </c>
      <c r="D8" s="14" t="s">
        <v>284</v>
      </c>
      <c r="E8" s="15" t="s">
        <v>473</v>
      </c>
      <c r="F8" s="15" t="s">
        <v>474</v>
      </c>
      <c r="G8" s="15" t="s">
        <v>214</v>
      </c>
      <c r="H8" s="15" t="s">
        <v>637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195</v>
      </c>
      <c r="B9" s="15" t="s">
        <v>627</v>
      </c>
      <c r="C9" s="15" t="s">
        <v>638</v>
      </c>
      <c r="D9" s="14" t="s">
        <v>327</v>
      </c>
      <c r="E9" s="15" t="s">
        <v>639</v>
      </c>
      <c r="F9" s="15" t="s">
        <v>640</v>
      </c>
      <c r="G9" s="15" t="s">
        <v>214</v>
      </c>
      <c r="H9" s="15" t="s">
        <v>194</v>
      </c>
      <c r="I9" s="14" t="s">
        <v>275</v>
      </c>
      <c r="J9" s="14" t="s">
        <v>21</v>
      </c>
      <c r="K9" s="15"/>
      <c r="L9" s="15"/>
      <c r="M9" s="15"/>
      <c r="N9" s="15"/>
    </row>
  </sheetData>
  <conditionalFormatting sqref="J2:J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9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9" type="list">
      <formula1>"P0,P1,P2,P3"</formula1>
      <formula2>0</formula2>
    </dataValidation>
    <dataValidation allowBlank="true" errorStyle="stop" operator="between" showDropDown="false" showErrorMessage="false" showInputMessage="false" sqref="I2:I9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223</v>
      </c>
      <c r="B2" s="15" t="s">
        <v>219</v>
      </c>
      <c r="C2" s="15" t="s">
        <v>641</v>
      </c>
      <c r="D2" s="14" t="s">
        <v>270</v>
      </c>
      <c r="E2" s="15" t="s">
        <v>322</v>
      </c>
      <c r="F2" s="15" t="s">
        <v>642</v>
      </c>
      <c r="G2" s="15" t="s">
        <v>214</v>
      </c>
      <c r="H2" s="15" t="s">
        <v>643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228</v>
      </c>
      <c r="B3" s="15" t="s">
        <v>219</v>
      </c>
      <c r="C3" s="15" t="s">
        <v>644</v>
      </c>
      <c r="D3" s="14" t="s">
        <v>284</v>
      </c>
      <c r="E3" s="15" t="s">
        <v>645</v>
      </c>
      <c r="F3" s="15" t="s">
        <v>646</v>
      </c>
      <c r="G3" s="15" t="s">
        <v>214</v>
      </c>
      <c r="H3" s="15" t="s">
        <v>647</v>
      </c>
      <c r="I3" s="14" t="s">
        <v>275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648</v>
      </c>
      <c r="B4" s="15" t="s">
        <v>219</v>
      </c>
      <c r="C4" s="15" t="s">
        <v>649</v>
      </c>
      <c r="D4" s="14" t="s">
        <v>270</v>
      </c>
      <c r="E4" s="15" t="s">
        <v>322</v>
      </c>
      <c r="F4" s="15" t="s">
        <v>650</v>
      </c>
      <c r="G4" s="15" t="s">
        <v>651</v>
      </c>
      <c r="H4" s="15" t="s">
        <v>652</v>
      </c>
      <c r="I4" s="14" t="s">
        <v>275</v>
      </c>
      <c r="J4" s="14" t="s">
        <v>21</v>
      </c>
      <c r="K4" s="15"/>
      <c r="L4" s="15"/>
      <c r="M4" s="15"/>
      <c r="N4" s="15"/>
    </row>
    <row r="5" customFormat="false" ht="15" hidden="false" customHeight="true" outlineLevel="0" collapsed="false">
      <c r="A5" s="15" t="s">
        <v>653</v>
      </c>
      <c r="B5" s="15" t="s">
        <v>219</v>
      </c>
      <c r="C5" s="15" t="s">
        <v>654</v>
      </c>
      <c r="D5" s="14" t="s">
        <v>284</v>
      </c>
      <c r="E5" s="15" t="s">
        <v>473</v>
      </c>
      <c r="F5" s="15" t="s">
        <v>474</v>
      </c>
      <c r="G5" s="15" t="s">
        <v>214</v>
      </c>
      <c r="H5" s="15" t="s">
        <v>655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656</v>
      </c>
      <c r="B6" s="15" t="s">
        <v>234</v>
      </c>
      <c r="C6" s="15" t="s">
        <v>657</v>
      </c>
      <c r="D6" s="14" t="s">
        <v>284</v>
      </c>
      <c r="E6" s="15" t="s">
        <v>322</v>
      </c>
      <c r="F6" s="15" t="s">
        <v>658</v>
      </c>
      <c r="G6" s="15" t="s">
        <v>214</v>
      </c>
      <c r="H6" s="15" t="s">
        <v>659</v>
      </c>
      <c r="I6" s="14" t="s">
        <v>288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660</v>
      </c>
      <c r="B7" s="15" t="s">
        <v>234</v>
      </c>
      <c r="C7" s="15" t="s">
        <v>661</v>
      </c>
      <c r="D7" s="14" t="s">
        <v>327</v>
      </c>
      <c r="E7" s="15" t="s">
        <v>662</v>
      </c>
      <c r="F7" s="15" t="s">
        <v>663</v>
      </c>
      <c r="G7" s="15" t="s">
        <v>214</v>
      </c>
      <c r="H7" s="15" t="s">
        <v>664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15" hidden="false" customHeight="true" outlineLevel="0" collapsed="false">
      <c r="A8" s="15" t="s">
        <v>665</v>
      </c>
      <c r="B8" s="15" t="s">
        <v>234</v>
      </c>
      <c r="C8" s="15" t="s">
        <v>666</v>
      </c>
      <c r="D8" s="14" t="s">
        <v>327</v>
      </c>
      <c r="E8" s="15" t="s">
        <v>322</v>
      </c>
      <c r="F8" s="15" t="s">
        <v>667</v>
      </c>
      <c r="G8" s="15" t="s">
        <v>214</v>
      </c>
      <c r="H8" s="15" t="s">
        <v>668</v>
      </c>
      <c r="I8" s="14" t="s">
        <v>484</v>
      </c>
      <c r="J8" s="14" t="s">
        <v>21</v>
      </c>
      <c r="K8" s="15"/>
      <c r="L8" s="15"/>
      <c r="M8" s="15"/>
      <c r="N8" s="15"/>
    </row>
  </sheetData>
  <conditionalFormatting sqref="J2:J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8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8" type="list">
      <formula1>"P0,P1,P2,P3"</formula1>
      <formula2>0</formula2>
    </dataValidation>
    <dataValidation allowBlank="true" errorStyle="stop" operator="between" showDropDown="false" showErrorMessage="false" showInputMessage="false" sqref="I2:I8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201</v>
      </c>
      <c r="B2" s="15" t="s">
        <v>35</v>
      </c>
      <c r="C2" s="15" t="s">
        <v>669</v>
      </c>
      <c r="D2" s="14" t="s">
        <v>327</v>
      </c>
      <c r="E2" s="15" t="s">
        <v>322</v>
      </c>
      <c r="F2" s="15" t="s">
        <v>670</v>
      </c>
      <c r="G2" s="15" t="s">
        <v>214</v>
      </c>
      <c r="H2" s="15" t="s">
        <v>671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672</v>
      </c>
      <c r="B3" s="15" t="s">
        <v>35</v>
      </c>
      <c r="C3" s="15" t="s">
        <v>202</v>
      </c>
      <c r="D3" s="14" t="s">
        <v>284</v>
      </c>
      <c r="E3" s="15" t="s">
        <v>322</v>
      </c>
      <c r="F3" s="15" t="s">
        <v>673</v>
      </c>
      <c r="G3" s="15" t="s">
        <v>674</v>
      </c>
      <c r="H3" s="15" t="s">
        <v>675</v>
      </c>
      <c r="I3" s="14" t="s">
        <v>275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211</v>
      </c>
      <c r="B4" s="15" t="s">
        <v>35</v>
      </c>
      <c r="C4" s="15" t="s">
        <v>676</v>
      </c>
      <c r="D4" s="14" t="s">
        <v>284</v>
      </c>
      <c r="E4" s="15" t="s">
        <v>213</v>
      </c>
      <c r="F4" s="15" t="s">
        <v>677</v>
      </c>
      <c r="G4" s="15" t="s">
        <v>678</v>
      </c>
      <c r="H4" s="15" t="s">
        <v>679</v>
      </c>
      <c r="I4" s="14" t="s">
        <v>275</v>
      </c>
      <c r="J4" s="14" t="s">
        <v>21</v>
      </c>
      <c r="K4" s="15"/>
      <c r="L4" s="15"/>
      <c r="M4" s="15"/>
      <c r="N4" s="15"/>
    </row>
    <row r="5" customFormat="false" ht="15" hidden="false" customHeight="true" outlineLevel="0" collapsed="false">
      <c r="A5" s="15" t="s">
        <v>216</v>
      </c>
      <c r="B5" s="15" t="s">
        <v>35</v>
      </c>
      <c r="C5" s="15" t="s">
        <v>680</v>
      </c>
      <c r="D5" s="14" t="s">
        <v>327</v>
      </c>
      <c r="E5" s="15" t="s">
        <v>681</v>
      </c>
      <c r="F5" s="15" t="s">
        <v>682</v>
      </c>
      <c r="G5" s="15" t="s">
        <v>214</v>
      </c>
      <c r="H5" s="15" t="s">
        <v>683</v>
      </c>
      <c r="I5" s="14" t="s">
        <v>288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684</v>
      </c>
      <c r="B6" s="15" t="s">
        <v>35</v>
      </c>
      <c r="C6" s="15" t="s">
        <v>685</v>
      </c>
      <c r="D6" s="14" t="s">
        <v>327</v>
      </c>
      <c r="E6" s="15" t="s">
        <v>214</v>
      </c>
      <c r="F6" s="15" t="s">
        <v>686</v>
      </c>
      <c r="G6" s="15" t="s">
        <v>214</v>
      </c>
      <c r="H6" s="15" t="s">
        <v>687</v>
      </c>
      <c r="I6" s="14" t="s">
        <v>275</v>
      </c>
      <c r="J6" s="14" t="s">
        <v>21</v>
      </c>
      <c r="K6" s="15"/>
      <c r="L6" s="15"/>
      <c r="M6" s="15"/>
      <c r="N6" s="15"/>
    </row>
  </sheetData>
  <conditionalFormatting sqref="J2:J6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6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6" type="list">
      <formula1>"P0,P1,P2,P3"</formula1>
      <formula2>0</formula2>
    </dataValidation>
    <dataValidation allowBlank="true" errorStyle="stop" operator="between" showDropDown="false" showErrorMessage="false" showInputMessage="false" sqref="I2:I6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34.5" hidden="false" customHeight="true" outlineLevel="0" collapsed="false">
      <c r="A2" s="15" t="s">
        <v>688</v>
      </c>
      <c r="B2" s="15" t="s">
        <v>689</v>
      </c>
      <c r="C2" s="15" t="s">
        <v>690</v>
      </c>
      <c r="D2" s="14" t="s">
        <v>270</v>
      </c>
      <c r="E2" s="15" t="s">
        <v>214</v>
      </c>
      <c r="F2" s="15" t="s">
        <v>691</v>
      </c>
      <c r="G2" s="15" t="s">
        <v>214</v>
      </c>
      <c r="H2" s="15" t="s">
        <v>692</v>
      </c>
      <c r="I2" s="14" t="s">
        <v>288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245</v>
      </c>
      <c r="B3" s="15" t="s">
        <v>693</v>
      </c>
      <c r="C3" s="15" t="s">
        <v>694</v>
      </c>
      <c r="D3" s="14" t="s">
        <v>270</v>
      </c>
      <c r="E3" s="15" t="s">
        <v>695</v>
      </c>
      <c r="F3" s="15" t="s">
        <v>696</v>
      </c>
      <c r="G3" s="15" t="s">
        <v>214</v>
      </c>
      <c r="H3" s="15" t="s">
        <v>697</v>
      </c>
      <c r="I3" s="14" t="s">
        <v>288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698</v>
      </c>
      <c r="B4" s="15" t="s">
        <v>699</v>
      </c>
      <c r="C4" s="15" t="s">
        <v>700</v>
      </c>
      <c r="D4" s="14" t="s">
        <v>284</v>
      </c>
      <c r="E4" s="15" t="s">
        <v>214</v>
      </c>
      <c r="F4" s="15" t="s">
        <v>701</v>
      </c>
      <c r="G4" s="15" t="s">
        <v>214</v>
      </c>
      <c r="H4" s="15" t="s">
        <v>702</v>
      </c>
      <c r="I4" s="14" t="s">
        <v>288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703</v>
      </c>
      <c r="B5" s="15" t="s">
        <v>704</v>
      </c>
      <c r="C5" s="15" t="s">
        <v>705</v>
      </c>
      <c r="D5" s="14" t="s">
        <v>270</v>
      </c>
      <c r="E5" s="15" t="s">
        <v>706</v>
      </c>
      <c r="F5" s="15" t="s">
        <v>707</v>
      </c>
      <c r="G5" s="15" t="s">
        <v>214</v>
      </c>
      <c r="H5" s="15" t="s">
        <v>708</v>
      </c>
      <c r="I5" s="14" t="s">
        <v>294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709</v>
      </c>
      <c r="B6" s="15" t="s">
        <v>294</v>
      </c>
      <c r="C6" s="15" t="s">
        <v>710</v>
      </c>
      <c r="D6" s="14" t="s">
        <v>284</v>
      </c>
      <c r="E6" s="15" t="s">
        <v>711</v>
      </c>
      <c r="F6" s="15" t="s">
        <v>712</v>
      </c>
      <c r="G6" s="15" t="s">
        <v>214</v>
      </c>
      <c r="H6" s="15" t="s">
        <v>713</v>
      </c>
      <c r="I6" s="14" t="s">
        <v>294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714</v>
      </c>
      <c r="B7" s="15" t="s">
        <v>715</v>
      </c>
      <c r="C7" s="15" t="s">
        <v>716</v>
      </c>
      <c r="D7" s="14" t="s">
        <v>270</v>
      </c>
      <c r="E7" s="15" t="s">
        <v>717</v>
      </c>
      <c r="F7" s="15" t="s">
        <v>718</v>
      </c>
      <c r="G7" s="15" t="s">
        <v>719</v>
      </c>
      <c r="H7" s="15" t="s">
        <v>720</v>
      </c>
      <c r="I7" s="14" t="s">
        <v>288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721</v>
      </c>
      <c r="B8" s="15" t="s">
        <v>715</v>
      </c>
      <c r="C8" s="15" t="s">
        <v>722</v>
      </c>
      <c r="D8" s="14" t="s">
        <v>284</v>
      </c>
      <c r="E8" s="15" t="s">
        <v>723</v>
      </c>
      <c r="F8" s="15" t="s">
        <v>718</v>
      </c>
      <c r="G8" s="15" t="s">
        <v>214</v>
      </c>
      <c r="H8" s="15" t="s">
        <v>724</v>
      </c>
      <c r="I8" s="14" t="s">
        <v>288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725</v>
      </c>
      <c r="B9" s="15" t="s">
        <v>726</v>
      </c>
      <c r="C9" s="15" t="s">
        <v>727</v>
      </c>
      <c r="D9" s="14" t="s">
        <v>284</v>
      </c>
      <c r="E9" s="15" t="s">
        <v>728</v>
      </c>
      <c r="F9" s="15" t="s">
        <v>729</v>
      </c>
      <c r="G9" s="15" t="s">
        <v>730</v>
      </c>
      <c r="H9" s="15" t="s">
        <v>731</v>
      </c>
      <c r="I9" s="14" t="s">
        <v>726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732</v>
      </c>
      <c r="B10" s="15" t="s">
        <v>733</v>
      </c>
      <c r="C10" s="15" t="s">
        <v>734</v>
      </c>
      <c r="D10" s="14" t="s">
        <v>327</v>
      </c>
      <c r="E10" s="15" t="s">
        <v>735</v>
      </c>
      <c r="F10" s="15" t="s">
        <v>736</v>
      </c>
      <c r="G10" s="15" t="s">
        <v>214</v>
      </c>
      <c r="H10" s="15" t="s">
        <v>737</v>
      </c>
      <c r="I10" s="14" t="s">
        <v>733</v>
      </c>
      <c r="J10" s="14" t="s">
        <v>21</v>
      </c>
      <c r="K10" s="15"/>
      <c r="L10" s="15"/>
      <c r="M10" s="15"/>
      <c r="N10" s="15"/>
    </row>
    <row r="11" customFormat="false" ht="23.25" hidden="false" customHeight="true" outlineLevel="0" collapsed="false">
      <c r="A11" s="15" t="s">
        <v>738</v>
      </c>
      <c r="B11" s="15" t="s">
        <v>739</v>
      </c>
      <c r="C11" s="15" t="s">
        <v>740</v>
      </c>
      <c r="D11" s="14" t="s">
        <v>327</v>
      </c>
      <c r="E11" s="15" t="s">
        <v>214</v>
      </c>
      <c r="F11" s="15" t="s">
        <v>741</v>
      </c>
      <c r="G11" s="15" t="s">
        <v>214</v>
      </c>
      <c r="H11" s="15" t="s">
        <v>742</v>
      </c>
      <c r="I11" s="14" t="s">
        <v>288</v>
      </c>
      <c r="J11" s="14" t="s">
        <v>21</v>
      </c>
      <c r="K11" s="15"/>
      <c r="L11" s="15"/>
      <c r="M11" s="15"/>
      <c r="N11" s="15"/>
    </row>
    <row r="12" customFormat="false" ht="23.25" hidden="false" customHeight="true" outlineLevel="0" collapsed="false">
      <c r="A12" s="15" t="s">
        <v>743</v>
      </c>
      <c r="B12" s="15" t="s">
        <v>744</v>
      </c>
      <c r="C12" s="15" t="s">
        <v>745</v>
      </c>
      <c r="D12" s="14" t="s">
        <v>327</v>
      </c>
      <c r="E12" s="15" t="s">
        <v>746</v>
      </c>
      <c r="F12" s="15" t="s">
        <v>747</v>
      </c>
      <c r="G12" s="15" t="s">
        <v>214</v>
      </c>
      <c r="H12" s="15" t="s">
        <v>748</v>
      </c>
      <c r="I12" s="14" t="s">
        <v>288</v>
      </c>
      <c r="J12" s="14" t="s">
        <v>21</v>
      </c>
      <c r="K12" s="15"/>
      <c r="L12" s="15"/>
      <c r="M12" s="15"/>
      <c r="N12" s="15"/>
    </row>
    <row r="13" customFormat="false" ht="23.25" hidden="false" customHeight="true" outlineLevel="0" collapsed="false">
      <c r="A13" s="15" t="s">
        <v>749</v>
      </c>
      <c r="B13" s="15" t="s">
        <v>750</v>
      </c>
      <c r="C13" s="15" t="s">
        <v>751</v>
      </c>
      <c r="D13" s="14" t="s">
        <v>284</v>
      </c>
      <c r="E13" s="15" t="s">
        <v>752</v>
      </c>
      <c r="F13" s="15" t="s">
        <v>753</v>
      </c>
      <c r="G13" s="15" t="s">
        <v>214</v>
      </c>
      <c r="H13" s="15" t="s">
        <v>754</v>
      </c>
      <c r="I13" s="14" t="s">
        <v>294</v>
      </c>
      <c r="J13" s="14" t="s">
        <v>21</v>
      </c>
      <c r="K13" s="15"/>
      <c r="L13" s="15"/>
      <c r="M13" s="15"/>
      <c r="N13" s="15"/>
    </row>
  </sheetData>
  <conditionalFormatting sqref="J2:J1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3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3" type="list">
      <formula1>"P0,P1,P2,P3"</formula1>
      <formula2>0</formula2>
    </dataValidation>
    <dataValidation allowBlank="true" errorStyle="stop" operator="between" showDropDown="false" showErrorMessage="false" showInputMessage="false" sqref="I2:I13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15" hidden="false" customHeight="true" outlineLevel="0" collapsed="false">
      <c r="A2" s="15" t="s">
        <v>755</v>
      </c>
      <c r="B2" s="15" t="s">
        <v>508</v>
      </c>
      <c r="C2" s="15" t="s">
        <v>756</v>
      </c>
      <c r="D2" s="14" t="s">
        <v>270</v>
      </c>
      <c r="E2" s="15" t="s">
        <v>757</v>
      </c>
      <c r="F2" s="15" t="s">
        <v>758</v>
      </c>
      <c r="G2" s="15" t="s">
        <v>759</v>
      </c>
      <c r="H2" s="15" t="s">
        <v>760</v>
      </c>
      <c r="I2" s="14" t="s">
        <v>508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761</v>
      </c>
      <c r="B3" s="15" t="s">
        <v>508</v>
      </c>
      <c r="C3" s="15" t="s">
        <v>762</v>
      </c>
      <c r="D3" s="14" t="s">
        <v>270</v>
      </c>
      <c r="E3" s="15" t="s">
        <v>763</v>
      </c>
      <c r="F3" s="15" t="s">
        <v>764</v>
      </c>
      <c r="G3" s="15" t="s">
        <v>765</v>
      </c>
      <c r="H3" s="15" t="s">
        <v>766</v>
      </c>
      <c r="I3" s="14" t="s">
        <v>508</v>
      </c>
      <c r="J3" s="14" t="s">
        <v>21</v>
      </c>
      <c r="K3" s="15"/>
      <c r="L3" s="15"/>
      <c r="M3" s="15"/>
      <c r="N3" s="15"/>
    </row>
    <row r="4" customFormat="false" ht="15" hidden="false" customHeight="true" outlineLevel="0" collapsed="false">
      <c r="A4" s="15" t="s">
        <v>767</v>
      </c>
      <c r="B4" s="15" t="s">
        <v>508</v>
      </c>
      <c r="C4" s="15" t="s">
        <v>768</v>
      </c>
      <c r="D4" s="14" t="s">
        <v>270</v>
      </c>
      <c r="E4" s="15" t="s">
        <v>769</v>
      </c>
      <c r="F4" s="15" t="s">
        <v>770</v>
      </c>
      <c r="G4" s="15" t="s">
        <v>771</v>
      </c>
      <c r="H4" s="15" t="s">
        <v>772</v>
      </c>
      <c r="I4" s="14" t="s">
        <v>508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773</v>
      </c>
      <c r="B5" s="15" t="s">
        <v>508</v>
      </c>
      <c r="C5" s="15" t="s">
        <v>774</v>
      </c>
      <c r="D5" s="14" t="s">
        <v>270</v>
      </c>
      <c r="E5" s="15" t="s">
        <v>775</v>
      </c>
      <c r="F5" s="15" t="s">
        <v>776</v>
      </c>
      <c r="G5" s="15" t="s">
        <v>214</v>
      </c>
      <c r="H5" s="15" t="s">
        <v>777</v>
      </c>
      <c r="I5" s="14" t="s">
        <v>508</v>
      </c>
      <c r="J5" s="14" t="s">
        <v>21</v>
      </c>
      <c r="K5" s="15"/>
      <c r="L5" s="15"/>
      <c r="M5" s="15"/>
      <c r="N5" s="15"/>
    </row>
    <row r="6" customFormat="false" ht="15" hidden="false" customHeight="true" outlineLevel="0" collapsed="false">
      <c r="A6" s="15" t="s">
        <v>778</v>
      </c>
      <c r="B6" s="15" t="s">
        <v>294</v>
      </c>
      <c r="C6" s="15" t="s">
        <v>779</v>
      </c>
      <c r="D6" s="14" t="s">
        <v>270</v>
      </c>
      <c r="E6" s="15" t="s">
        <v>214</v>
      </c>
      <c r="F6" s="15" t="s">
        <v>780</v>
      </c>
      <c r="G6" s="15" t="s">
        <v>214</v>
      </c>
      <c r="H6" s="15" t="s">
        <v>781</v>
      </c>
      <c r="I6" s="14" t="s">
        <v>294</v>
      </c>
      <c r="J6" s="14" t="s">
        <v>21</v>
      </c>
      <c r="K6" s="15"/>
      <c r="L6" s="15"/>
      <c r="M6" s="15"/>
      <c r="N6" s="15"/>
    </row>
    <row r="7" customFormat="false" ht="15" hidden="false" customHeight="true" outlineLevel="0" collapsed="false">
      <c r="A7" s="15" t="s">
        <v>782</v>
      </c>
      <c r="B7" s="15" t="s">
        <v>508</v>
      </c>
      <c r="C7" s="15" t="s">
        <v>783</v>
      </c>
      <c r="D7" s="14" t="s">
        <v>270</v>
      </c>
      <c r="E7" s="15" t="s">
        <v>784</v>
      </c>
      <c r="F7" s="15" t="s">
        <v>785</v>
      </c>
      <c r="G7" s="15" t="s">
        <v>214</v>
      </c>
      <c r="H7" s="15" t="s">
        <v>786</v>
      </c>
      <c r="I7" s="14" t="s">
        <v>508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787</v>
      </c>
      <c r="B8" s="15" t="s">
        <v>484</v>
      </c>
      <c r="C8" s="15" t="s">
        <v>788</v>
      </c>
      <c r="D8" s="14" t="s">
        <v>284</v>
      </c>
      <c r="E8" s="15" t="s">
        <v>214</v>
      </c>
      <c r="F8" s="15" t="s">
        <v>789</v>
      </c>
      <c r="G8" s="15" t="s">
        <v>214</v>
      </c>
      <c r="H8" s="15" t="s">
        <v>790</v>
      </c>
      <c r="I8" s="14" t="s">
        <v>484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791</v>
      </c>
      <c r="B9" s="15" t="s">
        <v>508</v>
      </c>
      <c r="C9" s="15" t="s">
        <v>792</v>
      </c>
      <c r="D9" s="14" t="s">
        <v>284</v>
      </c>
      <c r="E9" s="15" t="s">
        <v>793</v>
      </c>
      <c r="F9" s="15" t="s">
        <v>794</v>
      </c>
      <c r="G9" s="15" t="s">
        <v>214</v>
      </c>
      <c r="H9" s="15" t="s">
        <v>795</v>
      </c>
      <c r="I9" s="14" t="s">
        <v>508</v>
      </c>
      <c r="J9" s="14" t="s">
        <v>21</v>
      </c>
      <c r="K9" s="15"/>
      <c r="L9" s="15"/>
      <c r="M9" s="15"/>
      <c r="N9" s="15"/>
    </row>
    <row r="10" customFormat="false" ht="15" hidden="false" customHeight="true" outlineLevel="0" collapsed="false">
      <c r="A10" s="15" t="s">
        <v>796</v>
      </c>
      <c r="B10" s="15" t="s">
        <v>294</v>
      </c>
      <c r="C10" s="15" t="s">
        <v>797</v>
      </c>
      <c r="D10" s="14" t="s">
        <v>270</v>
      </c>
      <c r="E10" s="15" t="s">
        <v>798</v>
      </c>
      <c r="F10" s="15" t="s">
        <v>799</v>
      </c>
      <c r="G10" s="15" t="s">
        <v>214</v>
      </c>
      <c r="H10" s="15" t="s">
        <v>800</v>
      </c>
      <c r="I10" s="14" t="s">
        <v>294</v>
      </c>
      <c r="J10" s="14" t="s">
        <v>21</v>
      </c>
      <c r="K10" s="15"/>
      <c r="L10" s="15"/>
      <c r="M10" s="15"/>
      <c r="N10" s="15"/>
    </row>
    <row r="11" customFormat="false" ht="23.25" hidden="false" customHeight="true" outlineLevel="0" collapsed="false">
      <c r="A11" s="15" t="s">
        <v>801</v>
      </c>
      <c r="B11" s="15" t="s">
        <v>484</v>
      </c>
      <c r="C11" s="15" t="s">
        <v>802</v>
      </c>
      <c r="D11" s="14" t="s">
        <v>284</v>
      </c>
      <c r="E11" s="15" t="s">
        <v>214</v>
      </c>
      <c r="F11" s="15" t="s">
        <v>803</v>
      </c>
      <c r="G11" s="15" t="s">
        <v>214</v>
      </c>
      <c r="H11" s="15" t="s">
        <v>804</v>
      </c>
      <c r="I11" s="14" t="s">
        <v>484</v>
      </c>
      <c r="J11" s="14" t="s">
        <v>21</v>
      </c>
      <c r="K11" s="15"/>
      <c r="L11" s="15"/>
      <c r="M11" s="15"/>
      <c r="N11" s="15"/>
    </row>
    <row r="12" customFormat="false" ht="23.25" hidden="false" customHeight="true" outlineLevel="0" collapsed="false">
      <c r="A12" s="15" t="s">
        <v>805</v>
      </c>
      <c r="B12" s="15" t="s">
        <v>484</v>
      </c>
      <c r="C12" s="15" t="s">
        <v>806</v>
      </c>
      <c r="D12" s="14" t="s">
        <v>284</v>
      </c>
      <c r="E12" s="15" t="s">
        <v>214</v>
      </c>
      <c r="F12" s="15" t="s">
        <v>807</v>
      </c>
      <c r="G12" s="15" t="s">
        <v>214</v>
      </c>
      <c r="H12" s="15" t="s">
        <v>808</v>
      </c>
      <c r="I12" s="14" t="s">
        <v>484</v>
      </c>
      <c r="J12" s="14" t="s">
        <v>21</v>
      </c>
      <c r="K12" s="15"/>
      <c r="L12" s="15"/>
      <c r="M12" s="15"/>
      <c r="N12" s="15"/>
    </row>
    <row r="13" customFormat="false" ht="15" hidden="false" customHeight="true" outlineLevel="0" collapsed="false">
      <c r="A13" s="15" t="s">
        <v>809</v>
      </c>
      <c r="B13" s="15" t="s">
        <v>484</v>
      </c>
      <c r="C13" s="15" t="s">
        <v>810</v>
      </c>
      <c r="D13" s="14" t="s">
        <v>284</v>
      </c>
      <c r="E13" s="15" t="s">
        <v>214</v>
      </c>
      <c r="F13" s="15" t="s">
        <v>811</v>
      </c>
      <c r="G13" s="15" t="s">
        <v>214</v>
      </c>
      <c r="H13" s="15" t="s">
        <v>812</v>
      </c>
      <c r="I13" s="14" t="s">
        <v>484</v>
      </c>
      <c r="J13" s="14" t="s">
        <v>21</v>
      </c>
      <c r="K13" s="15"/>
      <c r="L13" s="15"/>
      <c r="M13" s="15"/>
      <c r="N13" s="15"/>
    </row>
    <row r="14" customFormat="false" ht="23.25" hidden="false" customHeight="true" outlineLevel="0" collapsed="false">
      <c r="A14" s="15" t="s">
        <v>813</v>
      </c>
      <c r="B14" s="15" t="s">
        <v>294</v>
      </c>
      <c r="C14" s="15" t="s">
        <v>814</v>
      </c>
      <c r="D14" s="14" t="s">
        <v>270</v>
      </c>
      <c r="E14" s="15" t="s">
        <v>815</v>
      </c>
      <c r="F14" s="15" t="s">
        <v>816</v>
      </c>
      <c r="G14" s="15" t="s">
        <v>214</v>
      </c>
      <c r="H14" s="15" t="s">
        <v>817</v>
      </c>
      <c r="I14" s="14" t="s">
        <v>294</v>
      </c>
      <c r="J14" s="14" t="s">
        <v>21</v>
      </c>
      <c r="K14" s="15"/>
      <c r="L14" s="15"/>
      <c r="M14" s="15"/>
      <c r="N14" s="15"/>
    </row>
  </sheetData>
  <conditionalFormatting sqref="J2:J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4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4" type="list">
      <formula1>"P0,P1,P2,P3"</formula1>
      <formula2>0</formula2>
    </dataValidation>
    <dataValidation allowBlank="true" errorStyle="stop" operator="between" showDropDown="false" showErrorMessage="false" showInputMessage="false" sqref="I2:I14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6"/>
    <col collapsed="false" customWidth="true" hidden="false" outlineLevel="0" max="6" min="6" style="1" width="46"/>
    <col collapsed="false" customWidth="true" hidden="false" outlineLevel="0" max="7" min="7" style="1" width="20"/>
    <col collapsed="false" customWidth="true" hidden="false" outlineLevel="0" max="8" min="8" style="1" width="42"/>
    <col collapsed="false" customWidth="true" hidden="false" outlineLevel="0" max="10" min="9" style="1" width="11"/>
    <col collapsed="false" customWidth="true" hidden="false" outlineLevel="0" max="11" min="11" style="1" width="28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4" min="14" style="1" width="26"/>
  </cols>
  <sheetData>
    <row r="1" customFormat="false" ht="25.5" hidden="false" customHeight="true" outlineLevel="0" collapsed="false">
      <c r="A1" s="5" t="s">
        <v>255</v>
      </c>
      <c r="B1" s="5" t="s">
        <v>256</v>
      </c>
      <c r="C1" s="5" t="s">
        <v>257</v>
      </c>
      <c r="D1" s="5" t="s">
        <v>9</v>
      </c>
      <c r="E1" s="5" t="s">
        <v>258</v>
      </c>
      <c r="F1" s="5" t="s">
        <v>259</v>
      </c>
      <c r="G1" s="5" t="s">
        <v>260</v>
      </c>
      <c r="H1" s="5" t="s">
        <v>261</v>
      </c>
      <c r="I1" s="5" t="s">
        <v>11</v>
      </c>
      <c r="J1" s="5" t="s">
        <v>262</v>
      </c>
      <c r="K1" s="5" t="s">
        <v>263</v>
      </c>
      <c r="L1" s="5" t="s">
        <v>264</v>
      </c>
      <c r="M1" s="5" t="s">
        <v>265</v>
      </c>
      <c r="N1" s="5" t="s">
        <v>266</v>
      </c>
    </row>
    <row r="2" customFormat="false" ht="23.25" hidden="false" customHeight="true" outlineLevel="0" collapsed="false">
      <c r="A2" s="15" t="s">
        <v>818</v>
      </c>
      <c r="B2" s="15" t="s">
        <v>484</v>
      </c>
      <c r="C2" s="15" t="s">
        <v>819</v>
      </c>
      <c r="D2" s="14" t="s">
        <v>270</v>
      </c>
      <c r="E2" s="15" t="s">
        <v>820</v>
      </c>
      <c r="F2" s="15" t="s">
        <v>821</v>
      </c>
      <c r="G2" s="15" t="s">
        <v>214</v>
      </c>
      <c r="H2" s="15" t="s">
        <v>822</v>
      </c>
      <c r="I2" s="14" t="s">
        <v>294</v>
      </c>
      <c r="J2" s="14" t="s">
        <v>21</v>
      </c>
      <c r="K2" s="15"/>
      <c r="L2" s="15"/>
      <c r="M2" s="15"/>
      <c r="N2" s="15"/>
    </row>
    <row r="3" customFormat="false" ht="23.25" hidden="false" customHeight="true" outlineLevel="0" collapsed="false">
      <c r="A3" s="15" t="s">
        <v>823</v>
      </c>
      <c r="B3" s="15" t="s">
        <v>484</v>
      </c>
      <c r="C3" s="15" t="s">
        <v>824</v>
      </c>
      <c r="D3" s="14" t="s">
        <v>270</v>
      </c>
      <c r="E3" s="15" t="s">
        <v>825</v>
      </c>
      <c r="F3" s="15" t="s">
        <v>826</v>
      </c>
      <c r="G3" s="15" t="s">
        <v>827</v>
      </c>
      <c r="H3" s="15" t="s">
        <v>828</v>
      </c>
      <c r="I3" s="14" t="s">
        <v>275</v>
      </c>
      <c r="J3" s="14" t="s">
        <v>21</v>
      </c>
      <c r="K3" s="15"/>
      <c r="L3" s="15"/>
      <c r="M3" s="15"/>
      <c r="N3" s="15"/>
    </row>
    <row r="4" customFormat="false" ht="23.25" hidden="false" customHeight="true" outlineLevel="0" collapsed="false">
      <c r="A4" s="15" t="s">
        <v>829</v>
      </c>
      <c r="B4" s="15" t="s">
        <v>484</v>
      </c>
      <c r="C4" s="15" t="s">
        <v>830</v>
      </c>
      <c r="D4" s="14" t="s">
        <v>270</v>
      </c>
      <c r="E4" s="15" t="s">
        <v>831</v>
      </c>
      <c r="F4" s="15" t="s">
        <v>832</v>
      </c>
      <c r="G4" s="15" t="s">
        <v>833</v>
      </c>
      <c r="H4" s="15" t="s">
        <v>834</v>
      </c>
      <c r="I4" s="14" t="s">
        <v>275</v>
      </c>
      <c r="J4" s="14" t="s">
        <v>21</v>
      </c>
      <c r="K4" s="15"/>
      <c r="L4" s="15"/>
      <c r="M4" s="15"/>
      <c r="N4" s="15"/>
    </row>
    <row r="5" customFormat="false" ht="23.25" hidden="false" customHeight="true" outlineLevel="0" collapsed="false">
      <c r="A5" s="15" t="s">
        <v>835</v>
      </c>
      <c r="B5" s="15" t="s">
        <v>484</v>
      </c>
      <c r="C5" s="15" t="s">
        <v>836</v>
      </c>
      <c r="D5" s="14" t="s">
        <v>270</v>
      </c>
      <c r="E5" s="15" t="s">
        <v>837</v>
      </c>
      <c r="F5" s="15" t="s">
        <v>838</v>
      </c>
      <c r="G5" s="15" t="s">
        <v>214</v>
      </c>
      <c r="H5" s="15" t="s">
        <v>839</v>
      </c>
      <c r="I5" s="14" t="s">
        <v>484</v>
      </c>
      <c r="J5" s="14" t="s">
        <v>21</v>
      </c>
      <c r="K5" s="15"/>
      <c r="L5" s="15"/>
      <c r="M5" s="15"/>
      <c r="N5" s="15"/>
    </row>
    <row r="6" customFormat="false" ht="23.25" hidden="false" customHeight="true" outlineLevel="0" collapsed="false">
      <c r="A6" s="15" t="s">
        <v>173</v>
      </c>
      <c r="B6" s="15" t="s">
        <v>484</v>
      </c>
      <c r="C6" s="15" t="s">
        <v>840</v>
      </c>
      <c r="D6" s="14" t="s">
        <v>284</v>
      </c>
      <c r="E6" s="15" t="s">
        <v>214</v>
      </c>
      <c r="F6" s="15" t="s">
        <v>832</v>
      </c>
      <c r="G6" s="15" t="s">
        <v>214</v>
      </c>
      <c r="H6" s="15" t="s">
        <v>841</v>
      </c>
      <c r="I6" s="14" t="s">
        <v>484</v>
      </c>
      <c r="J6" s="14" t="s">
        <v>21</v>
      </c>
      <c r="K6" s="15"/>
      <c r="L6" s="15"/>
      <c r="M6" s="15"/>
      <c r="N6" s="15"/>
    </row>
    <row r="7" customFormat="false" ht="23.25" hidden="false" customHeight="true" outlineLevel="0" collapsed="false">
      <c r="A7" s="15" t="s">
        <v>842</v>
      </c>
      <c r="B7" s="15" t="s">
        <v>484</v>
      </c>
      <c r="C7" s="15" t="s">
        <v>843</v>
      </c>
      <c r="D7" s="14" t="s">
        <v>284</v>
      </c>
      <c r="E7" s="15" t="s">
        <v>844</v>
      </c>
      <c r="F7" s="15" t="s">
        <v>845</v>
      </c>
      <c r="G7" s="15" t="s">
        <v>214</v>
      </c>
      <c r="H7" s="15" t="s">
        <v>846</v>
      </c>
      <c r="I7" s="14" t="s">
        <v>484</v>
      </c>
      <c r="J7" s="14" t="s">
        <v>21</v>
      </c>
      <c r="K7" s="15"/>
      <c r="L7" s="15"/>
      <c r="M7" s="15"/>
      <c r="N7" s="15"/>
    </row>
    <row r="8" customFormat="false" ht="23.25" hidden="false" customHeight="true" outlineLevel="0" collapsed="false">
      <c r="A8" s="15" t="s">
        <v>847</v>
      </c>
      <c r="B8" s="15" t="s">
        <v>484</v>
      </c>
      <c r="C8" s="15" t="s">
        <v>848</v>
      </c>
      <c r="D8" s="14" t="s">
        <v>270</v>
      </c>
      <c r="E8" s="15" t="s">
        <v>849</v>
      </c>
      <c r="F8" s="15" t="s">
        <v>850</v>
      </c>
      <c r="G8" s="15" t="s">
        <v>214</v>
      </c>
      <c r="H8" s="15" t="s">
        <v>851</v>
      </c>
      <c r="I8" s="14" t="s">
        <v>484</v>
      </c>
      <c r="J8" s="14" t="s">
        <v>21</v>
      </c>
      <c r="K8" s="15"/>
      <c r="L8" s="15"/>
      <c r="M8" s="15"/>
      <c r="N8" s="15"/>
    </row>
    <row r="9" customFormat="false" ht="23.25" hidden="false" customHeight="true" outlineLevel="0" collapsed="false">
      <c r="A9" s="15" t="s">
        <v>852</v>
      </c>
      <c r="B9" s="15" t="s">
        <v>484</v>
      </c>
      <c r="C9" s="15" t="s">
        <v>853</v>
      </c>
      <c r="D9" s="14" t="s">
        <v>270</v>
      </c>
      <c r="E9" s="15" t="s">
        <v>854</v>
      </c>
      <c r="F9" s="15" t="s">
        <v>855</v>
      </c>
      <c r="G9" s="15" t="s">
        <v>214</v>
      </c>
      <c r="H9" s="15" t="s">
        <v>856</v>
      </c>
      <c r="I9" s="14" t="s">
        <v>275</v>
      </c>
      <c r="J9" s="14" t="s">
        <v>21</v>
      </c>
      <c r="K9" s="15"/>
      <c r="L9" s="15"/>
      <c r="M9" s="15"/>
      <c r="N9" s="15"/>
    </row>
    <row r="10" customFormat="false" ht="23.25" hidden="false" customHeight="true" outlineLevel="0" collapsed="false">
      <c r="A10" s="15" t="s">
        <v>857</v>
      </c>
      <c r="B10" s="15" t="s">
        <v>484</v>
      </c>
      <c r="C10" s="15" t="s">
        <v>858</v>
      </c>
      <c r="D10" s="14" t="s">
        <v>284</v>
      </c>
      <c r="E10" s="15" t="s">
        <v>859</v>
      </c>
      <c r="F10" s="15" t="s">
        <v>860</v>
      </c>
      <c r="G10" s="15" t="s">
        <v>214</v>
      </c>
      <c r="H10" s="15" t="s">
        <v>861</v>
      </c>
      <c r="I10" s="14" t="s">
        <v>484</v>
      </c>
      <c r="J10" s="14" t="s">
        <v>21</v>
      </c>
      <c r="K10" s="15"/>
      <c r="L10" s="15"/>
      <c r="M10" s="15"/>
      <c r="N10" s="15"/>
    </row>
    <row r="11" customFormat="false" ht="15" hidden="false" customHeight="true" outlineLevel="0" collapsed="false">
      <c r="A11" s="15" t="s">
        <v>862</v>
      </c>
      <c r="B11" s="15" t="s">
        <v>484</v>
      </c>
      <c r="C11" s="15" t="s">
        <v>863</v>
      </c>
      <c r="D11" s="14" t="s">
        <v>284</v>
      </c>
      <c r="E11" s="15" t="s">
        <v>864</v>
      </c>
      <c r="F11" s="15" t="s">
        <v>865</v>
      </c>
      <c r="G11" s="15" t="s">
        <v>214</v>
      </c>
      <c r="H11" s="15" t="s">
        <v>866</v>
      </c>
      <c r="I11" s="14" t="s">
        <v>275</v>
      </c>
      <c r="J11" s="14" t="s">
        <v>21</v>
      </c>
      <c r="K11" s="15"/>
      <c r="L11" s="15"/>
      <c r="M11" s="15"/>
      <c r="N11" s="15"/>
    </row>
    <row r="12" customFormat="false" ht="15" hidden="false" customHeight="true" outlineLevel="0" collapsed="false">
      <c r="A12" s="15" t="s">
        <v>867</v>
      </c>
      <c r="B12" s="15" t="s">
        <v>484</v>
      </c>
      <c r="C12" s="15" t="s">
        <v>868</v>
      </c>
      <c r="D12" s="14" t="s">
        <v>270</v>
      </c>
      <c r="E12" s="15" t="s">
        <v>214</v>
      </c>
      <c r="F12" s="15" t="s">
        <v>869</v>
      </c>
      <c r="G12" s="15" t="s">
        <v>214</v>
      </c>
      <c r="H12" s="15" t="s">
        <v>870</v>
      </c>
      <c r="I12" s="14" t="s">
        <v>294</v>
      </c>
      <c r="J12" s="14" t="s">
        <v>21</v>
      </c>
      <c r="K12" s="15"/>
      <c r="L12" s="15"/>
      <c r="M12" s="15"/>
      <c r="N12" s="15"/>
    </row>
    <row r="13" customFormat="false" ht="23.25" hidden="false" customHeight="true" outlineLevel="0" collapsed="false">
      <c r="A13" s="15" t="s">
        <v>871</v>
      </c>
      <c r="B13" s="15" t="s">
        <v>484</v>
      </c>
      <c r="C13" s="15" t="s">
        <v>872</v>
      </c>
      <c r="D13" s="14" t="s">
        <v>284</v>
      </c>
      <c r="E13" s="15" t="s">
        <v>214</v>
      </c>
      <c r="F13" s="15" t="s">
        <v>873</v>
      </c>
      <c r="G13" s="15" t="s">
        <v>214</v>
      </c>
      <c r="H13" s="15" t="s">
        <v>874</v>
      </c>
      <c r="I13" s="14" t="s">
        <v>275</v>
      </c>
      <c r="J13" s="14" t="s">
        <v>21</v>
      </c>
      <c r="K13" s="15"/>
      <c r="L13" s="15"/>
      <c r="M13" s="15"/>
      <c r="N13" s="15"/>
    </row>
    <row r="14" customFormat="false" ht="23.25" hidden="false" customHeight="true" outlineLevel="0" collapsed="false">
      <c r="A14" s="15" t="s">
        <v>875</v>
      </c>
      <c r="B14" s="15" t="s">
        <v>484</v>
      </c>
      <c r="C14" s="15" t="s">
        <v>876</v>
      </c>
      <c r="D14" s="14" t="s">
        <v>284</v>
      </c>
      <c r="E14" s="15" t="s">
        <v>214</v>
      </c>
      <c r="F14" s="15" t="s">
        <v>877</v>
      </c>
      <c r="G14" s="15" t="s">
        <v>214</v>
      </c>
      <c r="H14" s="15" t="s">
        <v>878</v>
      </c>
      <c r="I14" s="14" t="s">
        <v>484</v>
      </c>
      <c r="J14" s="14" t="s">
        <v>21</v>
      </c>
      <c r="K14" s="15"/>
      <c r="L14" s="15"/>
      <c r="M14" s="15"/>
      <c r="N14" s="15"/>
    </row>
    <row r="15" customFormat="false" ht="23.25" hidden="false" customHeight="true" outlineLevel="0" collapsed="false">
      <c r="A15" s="15" t="s">
        <v>879</v>
      </c>
      <c r="B15" s="15" t="s">
        <v>484</v>
      </c>
      <c r="C15" s="15" t="s">
        <v>71</v>
      </c>
      <c r="D15" s="14" t="s">
        <v>270</v>
      </c>
      <c r="E15" s="15" t="s">
        <v>214</v>
      </c>
      <c r="F15" s="15" t="s">
        <v>880</v>
      </c>
      <c r="G15" s="15" t="s">
        <v>214</v>
      </c>
      <c r="H15" s="15" t="s">
        <v>881</v>
      </c>
      <c r="I15" s="14" t="s">
        <v>294</v>
      </c>
      <c r="J15" s="14" t="s">
        <v>21</v>
      </c>
      <c r="K15" s="15"/>
      <c r="L15" s="15"/>
      <c r="M15" s="15"/>
      <c r="N15" s="15"/>
    </row>
    <row r="16" customFormat="false" ht="23.25" hidden="false" customHeight="true" outlineLevel="0" collapsed="false">
      <c r="A16" s="15" t="s">
        <v>882</v>
      </c>
      <c r="B16" s="15" t="s">
        <v>484</v>
      </c>
      <c r="C16" s="15" t="s">
        <v>883</v>
      </c>
      <c r="D16" s="14" t="s">
        <v>284</v>
      </c>
      <c r="E16" s="15" t="s">
        <v>214</v>
      </c>
      <c r="F16" s="15" t="s">
        <v>884</v>
      </c>
      <c r="G16" s="15" t="s">
        <v>214</v>
      </c>
      <c r="H16" s="15" t="s">
        <v>885</v>
      </c>
      <c r="I16" s="14" t="s">
        <v>484</v>
      </c>
      <c r="J16" s="14" t="s">
        <v>21</v>
      </c>
      <c r="K16" s="15"/>
      <c r="L16" s="15"/>
      <c r="M16" s="15"/>
      <c r="N16" s="15"/>
    </row>
    <row r="17" customFormat="false" ht="23.25" hidden="false" customHeight="true" outlineLevel="0" collapsed="false">
      <c r="A17" s="15" t="s">
        <v>886</v>
      </c>
      <c r="B17" s="15" t="s">
        <v>484</v>
      </c>
      <c r="C17" s="15" t="s">
        <v>887</v>
      </c>
      <c r="D17" s="14" t="s">
        <v>284</v>
      </c>
      <c r="E17" s="15" t="s">
        <v>888</v>
      </c>
      <c r="F17" s="15" t="s">
        <v>889</v>
      </c>
      <c r="G17" s="15" t="s">
        <v>214</v>
      </c>
      <c r="H17" s="15" t="s">
        <v>890</v>
      </c>
      <c r="I17" s="14" t="s">
        <v>484</v>
      </c>
      <c r="J17" s="14" t="s">
        <v>21</v>
      </c>
      <c r="K17" s="15"/>
      <c r="L17" s="15"/>
      <c r="M17" s="15"/>
      <c r="N17" s="15"/>
    </row>
  </sheetData>
  <conditionalFormatting sqref="J2:J1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Run"</formula>
    </cfRule>
  </conditionalFormatting>
  <dataValidations count="3">
    <dataValidation allowBlank="true" errorStyle="stop" operator="between" showDropDown="false" showErrorMessage="false" showInputMessage="false" sqref="J2:J17" type="list">
      <formula1>"Not Run,Pass,Fail,Blocked,N/A"</formula1>
      <formula2>0</formula2>
    </dataValidation>
    <dataValidation allowBlank="true" errorStyle="stop" operator="between" showDropDown="false" showErrorMessage="false" showInputMessage="false" sqref="D2:D17" type="list">
      <formula1>"P0,P1,P2,P3"</formula1>
      <formula2>0</formula2>
    </dataValidation>
    <dataValidation allowBlank="true" errorStyle="stop" operator="between" showDropDown="false" showErrorMessage="false" showInputMessage="false" sqref="I2:I17" type="list">
      <formula1>"UI,E2E,Backend,API,RLS,Security,Performance,Accessibility"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2026-06-08T14:56:21Z</dcterms:created>
  <dc:creator>openpyxl</dc:creator>
  <dc:description/>
  <dc:language>en-US</dc:language>
  <cp:lastModifiedBy/>
  <dcterms:modified xsi:type="dcterms:W3CDTF">2026-06-08T15:57:19Z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