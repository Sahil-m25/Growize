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Dashboard" sheetId="1" state="visible" r:id="rId1"/>
    <sheet xmlns:r="http://schemas.openxmlformats.org/officeDocument/2006/relationships" name="Fixture Spec" sheetId="2" state="visible" r:id="rId2"/>
    <sheet xmlns:r="http://schemas.openxmlformats.org/officeDocument/2006/relationships" name="Scenarios" sheetId="3" state="visible" r:id="rId3"/>
    <sheet xmlns:r="http://schemas.openxmlformats.org/officeDocument/2006/relationships" name="Test Cases" sheetId="4" state="visible" r:id="rId4"/>
    <sheet xmlns:r="http://schemas.openxmlformats.org/officeDocument/2006/relationships" name="Daily UAT" sheetId="5" state="visible" r:id="rId5"/>
    <sheet xmlns:r="http://schemas.openxmlformats.org/officeDocument/2006/relationships" name="Defects" sheetId="6" state="visible" r:id="rId6"/>
    <sheet xmlns:r="http://schemas.openxmlformats.org/officeDocument/2006/relationships" name="Sign-off" sheetId="7" state="visible" r:id="rId7"/>
    <sheet xmlns:r="http://schemas.openxmlformats.org/officeDocument/2006/relationships" name="Sync Coverage" sheetId="8" state="visible" r:id="rId8"/>
    <sheet xmlns:r="http://schemas.openxmlformats.org/officeDocument/2006/relationships" name="Flutter Feature Audit" sheetId="9" state="visible" r:id="rId9"/>
    <sheet xmlns:r="http://schemas.openxmlformats.org/officeDocument/2006/relationships" name="Launch Readiness" sheetId="10" state="visible" r:id="rId10"/>
    <sheet xmlns:r="http://schemas.openxmlformats.org/officeDocument/2006/relationships" name="Feature Backlog v1.1" sheetId="11" state="visible" r:id="rId11"/>
    <sheet xmlns:r="http://schemas.openxmlformats.org/officeDocument/2006/relationships" name="v31 E2E Catalog" sheetId="12" state="visible" r:id="rId12"/>
  </sheets>
  <definedNames/>
  <calcPr calcId="171027" fullCalcOnLoad="1"/>
</workbook>
</file>

<file path=xl/styles.xml><?xml version="1.0" encoding="utf-8"?>
<styleSheet xmlns="http://schemas.openxmlformats.org/spreadsheetml/2006/main">
  <numFmts count="2">
    <numFmt numFmtId="164" formatCode="0.0%"/>
    <numFmt numFmtId="165" formatCode="yyyy-mm-dd"/>
  </numFmts>
  <fonts count="18">
    <font>
      <name val="Calibri"/>
      <family val="2"/>
      <color theme="1"/>
      <sz val="11"/>
      <scheme val="minor"/>
    </font>
    <font>
      <name val="Calibri"/>
      <charset val="1"/>
      <family val="2"/>
      <color theme="1"/>
      <sz val="11"/>
    </font>
    <font>
      <name val="Arial"/>
      <charset val="1"/>
      <b val="1"/>
      <color rgb="FF0F1A15"/>
      <sz val="16"/>
    </font>
    <font>
      <name val="Arial"/>
      <charset val="1"/>
      <sz val="10"/>
    </font>
    <font>
      <name val="Arial"/>
      <charset val="1"/>
      <b val="1"/>
      <color rgb="FF3C5152"/>
      <sz val="12"/>
    </font>
    <font>
      <name val="Arial"/>
      <charset val="1"/>
      <b val="1"/>
      <color rgb="FFFFFFFF"/>
      <sz val="11"/>
    </font>
    <font>
      <name val="Arial"/>
      <charset val="1"/>
      <b val="1"/>
      <sz val="10"/>
    </font>
    <font>
      <b val="1"/>
    </font>
    <font>
      <name val="Arial"/>
      <b val="1"/>
      <color rgb="000F1A15"/>
      <sz val="14"/>
    </font>
    <font>
      <name val="Arial"/>
      <i val="1"/>
      <color rgb="006B7280"/>
      <sz val="10"/>
    </font>
    <font>
      <name val="Arial"/>
      <b val="1"/>
      <color rgb="00FFFFFF"/>
      <sz val="11"/>
    </font>
    <font>
      <name val="Arial"/>
      <b val="1"/>
      <sz val="11"/>
    </font>
    <font>
      <name val="Arial"/>
      <sz val="10"/>
    </font>
    <font>
      <name val="Arial"/>
      <b val="1"/>
      <sz val="10"/>
    </font>
    <font>
      <b val="1"/>
      <color rgb="00FFFFFF"/>
    </font>
    <font>
      <name val="Arial"/>
      <b val="1"/>
      <sz val="14"/>
    </font>
    <font>
      <name val="Arial"/>
      <i val="1"/>
      <color rgb="00555555"/>
      <sz val="10"/>
    </font>
    <font>
      <name val="Arial"/>
      <b val="1"/>
      <i val="1"/>
      <color rgb="001F4E78"/>
      <sz val="10"/>
    </font>
  </fonts>
  <fills count="16">
    <fill>
      <patternFill/>
    </fill>
    <fill>
      <patternFill patternType="gray125"/>
    </fill>
    <fill>
      <patternFill/>
    </fill>
    <fill>
      <patternFill patternType="solid">
        <fgColor rgb="FF3C5152"/>
        <bgColor rgb="FF333399"/>
      </patternFill>
    </fill>
    <fill>
      <patternFill patternType="solid">
        <fgColor rgb="003C5152"/>
      </patternFill>
    </fill>
    <fill>
      <patternFill patternType="solid">
        <fgColor rgb="00C8E6C9"/>
      </patternFill>
    </fill>
    <fill>
      <patternFill patternType="solid">
        <fgColor rgb="00FAFAF7"/>
      </patternFill>
    </fill>
    <fill>
      <patternFill patternType="solid">
        <fgColor rgb="00FFE0B2"/>
      </patternFill>
    </fill>
    <fill>
      <patternFill patternType="solid">
        <fgColor rgb="00FFCDD2"/>
      </patternFill>
    </fill>
    <fill>
      <patternFill patternType="solid">
        <fgColor rgb="00D4AF37"/>
      </patternFill>
    </fill>
    <fill>
      <patternFill patternType="solid">
        <fgColor rgb="002E7D6E"/>
      </patternFill>
    </fill>
    <fill>
      <patternFill patternType="solid">
        <fgColor rgb="001F4E78"/>
      </patternFill>
    </fill>
    <fill>
      <patternFill patternType="solid">
        <fgColor rgb="00C6EFCE"/>
      </patternFill>
    </fill>
    <fill>
      <patternFill patternType="solid">
        <fgColor rgb="00DDEBF7"/>
      </patternFill>
    </fill>
    <fill>
      <patternFill patternType="solid">
        <fgColor rgb="00FFEB9C"/>
      </patternFill>
    </fill>
    <fill>
      <patternFill patternType="solid">
        <fgColor rgb="00FFC7CE"/>
      </patternFill>
    </fill>
  </fills>
  <borders count="4">
    <border>
      <left/>
      <right/>
      <top/>
      <bottom/>
      <diagonal/>
    </border>
    <border>
      <left style="thin">
        <color rgb="FF999999"/>
      </left>
      <right style="thin">
        <color rgb="FF999999"/>
      </right>
      <top style="thin">
        <color rgb="FF999999"/>
      </top>
      <bottom style="thin">
        <color rgb="FF999999"/>
      </bottom>
      <diagonal/>
    </border>
    <border>
      <left style="thin">
        <color rgb="00C0C0C0"/>
      </left>
      <right style="thin">
        <color rgb="00C0C0C0"/>
      </right>
      <top style="thin">
        <color rgb="00C0C0C0"/>
      </top>
      <bottom style="thin">
        <color rgb="00C0C0C0"/>
      </bottom>
      <diagonal/>
    </border>
    <border>
      <left style="thin">
        <color rgb="00C0C0C0"/>
      </left>
      <right style="thin">
        <color rgb="00C0C0C0"/>
      </right>
      <top style="thin">
        <color rgb="00C0C0C0"/>
      </top>
      <bottom style="thin">
        <color rgb="00C0C0C0"/>
      </bottom>
    </border>
  </borders>
  <cellStyleXfs count="1">
    <xf numFmtId="0" fontId="0" fillId="2" borderId="0"/>
  </cellStyleXfs>
  <cellXfs count="43">
    <xf numFmtId="0" fontId="0" fillId="0" borderId="0" pivotButton="0" quotePrefix="0" xfId="0"/>
    <xf numFmtId="0" fontId="1" fillId="2" borderId="0" applyAlignment="1" pivotButton="0" quotePrefix="0" xfId="0">
      <alignment vertical="bottom"/>
    </xf>
    <xf numFmtId="0" fontId="2" fillId="2" borderId="0" applyAlignment="1" pivotButton="0" quotePrefix="0" xfId="0">
      <alignment vertical="bottom"/>
    </xf>
    <xf numFmtId="0" fontId="3" fillId="2" borderId="0" applyAlignment="1" pivotButton="0" quotePrefix="0" xfId="0">
      <alignment vertical="bottom"/>
    </xf>
    <xf numFmtId="0" fontId="4" fillId="2" borderId="0" applyAlignment="1" pivotButton="0" quotePrefix="0" xfId="0">
      <alignment vertical="bottom"/>
    </xf>
    <xf numFmtId="0" fontId="5" fillId="3" borderId="1" applyAlignment="1" pivotButton="0" quotePrefix="0" xfId="0">
      <alignment horizontal="center" vertical="center" wrapText="1"/>
    </xf>
    <xf numFmtId="0" fontId="3" fillId="2" borderId="1" applyAlignment="1" pivotButton="0" quotePrefix="0" xfId="0">
      <alignment vertical="bottom"/>
    </xf>
    <xf numFmtId="164" fontId="3" fillId="2" borderId="1" applyAlignment="1" pivotButton="0" quotePrefix="0" xfId="0">
      <alignment vertical="bottom"/>
    </xf>
    <xf numFmtId="0" fontId="6" fillId="2" borderId="1" applyAlignment="1" pivotButton="0" quotePrefix="0" xfId="0">
      <alignment vertical="top" wrapText="1"/>
    </xf>
    <xf numFmtId="0" fontId="3" fillId="2" borderId="1" applyAlignment="1" pivotButton="0" quotePrefix="0" xfId="0">
      <alignment vertical="top" wrapText="1"/>
    </xf>
    <xf numFmtId="0" fontId="3"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6" fillId="2" borderId="1" applyAlignment="1" pivotButton="0" quotePrefix="0" xfId="0">
      <alignment vertical="bottom"/>
    </xf>
    <xf numFmtId="164" fontId="6" fillId="2" borderId="1" applyAlignment="1" pivotButton="0" quotePrefix="0" xfId="0">
      <alignment horizontal="center" vertical="center" wrapText="1"/>
    </xf>
    <xf numFmtId="0" fontId="7" fillId="2" borderId="0" pivotButton="0" quotePrefix="0" xfId="0"/>
    <xf numFmtId="0" fontId="7" fillId="2" borderId="0" applyAlignment="1" pivotButton="0" quotePrefix="0" xfId="0">
      <alignment vertical="center"/>
    </xf>
    <xf numFmtId="0" fontId="0" fillId="2" borderId="0" applyAlignment="1" pivotButton="0" quotePrefix="0" xfId="0">
      <alignment vertical="top" wrapText="1"/>
    </xf>
    <xf numFmtId="0" fontId="8" fillId="2" borderId="0" pivotButton="0" quotePrefix="0" xfId="0"/>
    <xf numFmtId="0" fontId="9" fillId="2" borderId="0" applyAlignment="1" pivotButton="0" quotePrefix="0" xfId="0">
      <alignment vertical="top" wrapText="1"/>
    </xf>
    <xf numFmtId="0" fontId="9" fillId="2" borderId="0" pivotButton="0" quotePrefix="0" xfId="0"/>
    <xf numFmtId="0" fontId="10" fillId="4" borderId="2" applyAlignment="1" pivotButton="0" quotePrefix="0" xfId="0">
      <alignment horizontal="center" vertical="center"/>
    </xf>
    <xf numFmtId="0" fontId="11" fillId="2" borderId="0" pivotButton="0" quotePrefix="0" xfId="0"/>
    <xf numFmtId="0" fontId="12" fillId="2" borderId="2" applyAlignment="1" pivotButton="0" quotePrefix="0" xfId="0">
      <alignment horizontal="left" vertical="top" wrapText="1"/>
    </xf>
    <xf numFmtId="0" fontId="13" fillId="5" borderId="2" applyAlignment="1" pivotButton="0" quotePrefix="0" xfId="0">
      <alignment horizontal="center" vertical="center"/>
    </xf>
    <xf numFmtId="0" fontId="12" fillId="2" borderId="0" pivotButton="0" quotePrefix="0" xfId="0"/>
    <xf numFmtId="0" fontId="12" fillId="2" borderId="0" applyAlignment="1" pivotButton="0" quotePrefix="0" xfId="0">
      <alignment horizontal="center" vertical="center"/>
    </xf>
    <xf numFmtId="0" fontId="12" fillId="6" borderId="2" applyAlignment="1" pivotButton="0" quotePrefix="0" xfId="0">
      <alignment horizontal="left" vertical="top" wrapText="1"/>
    </xf>
    <xf numFmtId="0" fontId="13" fillId="7" borderId="2" applyAlignment="1" pivotButton="0" quotePrefix="0" xfId="0">
      <alignment horizontal="center" vertical="center"/>
    </xf>
    <xf numFmtId="0" fontId="13" fillId="8" borderId="2" applyAlignment="1" pivotButton="0" quotePrefix="0" xfId="0">
      <alignment horizontal="center" vertical="center"/>
    </xf>
    <xf numFmtId="0" fontId="14" fillId="4" borderId="0" applyAlignment="1" pivotButton="0" quotePrefix="0" xfId="0">
      <alignment horizontal="center" vertical="center"/>
    </xf>
    <xf numFmtId="0" fontId="0" fillId="9" borderId="0" pivotButton="0" quotePrefix="0" xfId="0"/>
    <xf numFmtId="0" fontId="14" fillId="10" borderId="0" applyAlignment="1" pivotButton="0" quotePrefix="0" xfId="0">
      <alignment horizontal="center"/>
    </xf>
    <xf numFmtId="165" fontId="0" fillId="2" borderId="0" pivotButton="0" quotePrefix="0" xfId="0"/>
    <xf numFmtId="0" fontId="15" fillId="0" borderId="0" pivotButton="0" quotePrefix="0" xfId="0"/>
    <xf numFmtId="0" fontId="16" fillId="0" borderId="0" pivotButton="0" quotePrefix="0" xfId="0"/>
    <xf numFmtId="0" fontId="10" fillId="11" borderId="3" applyAlignment="1" pivotButton="0" quotePrefix="0" xfId="0">
      <alignment horizontal="center" vertical="center" wrapText="1"/>
    </xf>
    <xf numFmtId="0" fontId="12" fillId="0" borderId="3" applyAlignment="1" pivotButton="0" quotePrefix="0" xfId="0">
      <alignment vertical="top" wrapText="1"/>
    </xf>
    <xf numFmtId="0" fontId="12" fillId="0" borderId="0" applyAlignment="1" pivotButton="0" quotePrefix="0" xfId="0">
      <alignment vertical="top" wrapText="1"/>
    </xf>
    <xf numFmtId="0" fontId="17" fillId="0" borderId="0" pivotButton="0" quotePrefix="0" xfId="0"/>
    <xf numFmtId="0" fontId="12" fillId="12" borderId="3" applyAlignment="1" pivotButton="0" quotePrefix="0" xfId="0">
      <alignment vertical="top" wrapText="1"/>
    </xf>
    <xf numFmtId="0" fontId="12" fillId="13" borderId="3" applyAlignment="1" pivotButton="0" quotePrefix="0" xfId="0">
      <alignment vertical="top" wrapText="1"/>
    </xf>
    <xf numFmtId="0" fontId="12" fillId="14" borderId="3" applyAlignment="1" pivotButton="0" quotePrefix="0" xfId="0">
      <alignment vertical="top" wrapText="1"/>
    </xf>
    <xf numFmtId="0" fontId="12" fillId="15" borderId="3" applyAlignment="1" pivotButton="0" quotePrefix="0" xfId="0">
      <alignment vertical="top" wrapText="1"/>
    </xf>
  </cellXfs>
  <cellStyles count="1">
    <cellStyle name="Normal" xfId="0" builtinId="0"/>
  </cellStyles>
  <dxfs count="17">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FFE0B2"/>
        </patternFill>
      </fill>
    </dxf>
    <dxf>
      <fill>
        <patternFill>
          <bgColor rgb="FFE1DFC6"/>
        </patternFill>
      </fill>
    </dxf>
    <dxf>
      <fill>
        <patternFill>
          <bgColor rgb="FFECEFF1"/>
        </patternFill>
      </fill>
    </dxf>
    <dxf>
      <fill>
        <patternFill>
          <bgColor rgb="FFC8E6C9"/>
        </patternFill>
      </fill>
    </dxf>
    <dxf>
      <fill>
        <patternFill>
          <bgColor rgb="FFFFCDD2"/>
        </patternFill>
      </fill>
    </dxf>
    <dxf>
      <fill>
        <patternFill>
          <bgColor rgb="FFE1DFC6"/>
        </patternFill>
      </fill>
    </dxf>
    <dxf>
      <fill>
        <patternFill>
          <bgColor rgb="FFC05640"/>
        </patternFill>
      </fill>
    </dxf>
    <dxf>
      <fill>
        <patternFill>
          <bgColor rgb="FFF2DC6B"/>
        </patternFill>
      </fill>
    </dxf>
    <dxf>
      <fill>
        <patternFill>
          <bgColor rgb="FFFFCDD2"/>
        </patternFill>
      </fill>
    </dxf>
    <dxf>
      <fill>
        <patternFill>
          <bgColor rgb="FFC8E6C9"/>
        </patternFill>
      </fill>
    </dxf>
    <dxf>
      <fill>
        <patternFill>
          <bgColor rgb="FFFFE0B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G49"/>
  <sheetViews>
    <sheetView view="normal" zoomScale="100" zoomScaleNormal="100" workbookViewId="0">
      <selection activeCell="A1" sqref="A1"/>
    </sheetView>
  </sheetViews>
  <sheetFormatPr baseColWidth="8" defaultColWidth="8.6796875" defaultRowHeight="15" outlineLevelRow="0"/>
  <cols>
    <col width="40" customWidth="1" style="1" min="1" max="1"/>
    <col width="16" customWidth="1" style="1" min="2" max="2"/>
    <col width="50" customWidth="1" style="1" min="3" max="3"/>
    <col width="8" customWidth="1" style="1" min="4" max="6"/>
    <col width="10" customWidth="1" style="1" min="7" max="7"/>
  </cols>
  <sheetData>
    <row r="1" ht="19.5" customHeight="1">
      <c r="A1" s="2" t="inlineStr">
        <is>
          <t>Growize App — Test Execution Dashboard</t>
        </is>
      </c>
    </row>
    <row r="2" ht="15" customHeight="1">
      <c r="A2" s="3" t="inlineStr">
        <is>
          <t>Owner: ARL Tech</t>
        </is>
      </c>
    </row>
    <row r="3" ht="15" customHeight="1">
      <c r="A3" s="3" t="inlineStr">
        <is>
          <t>Cycle: Pre-launch 2026-05-05 + ongoing daily UAT (hybrid)</t>
        </is>
      </c>
    </row>
    <row r="4" ht="15" customHeight="1">
      <c r="A4" s="3" t="inlineStr">
        <is>
          <t>Rule: CRM observed only. Demo records suffix '-demo'. Fixes go in Supabase / app / sync / RLS — never CRM.</t>
        </is>
      </c>
    </row>
    <row r="6" ht="15" customHeight="1">
      <c r="A6" s="4" t="inlineStr">
        <is>
          <t>Execution Summary (manual weekly + pre-release pass)</t>
        </is>
      </c>
    </row>
    <row r="7" ht="15" customHeight="1">
      <c r="A7" s="5" t="inlineStr">
        <is>
          <t>Metric</t>
        </is>
      </c>
      <c r="B7" s="5" t="inlineStr">
        <is>
          <t>Value</t>
        </is>
      </c>
      <c r="C7" s="5" t="inlineStr">
        <is>
          <t>Source</t>
        </is>
      </c>
    </row>
    <row r="8" ht="15" customHeight="1">
      <c r="A8" s="6" t="inlineStr">
        <is>
          <t>Total test cases</t>
        </is>
      </c>
      <c r="B8" s="6">
        <f>COUNTA('Test Cases'!A4:A1000)</f>
        <v/>
      </c>
      <c r="C8" s="6" t="inlineStr">
        <is>
          <t>Count of TC IDs</t>
        </is>
      </c>
    </row>
    <row r="9" ht="15" customHeight="1">
      <c r="A9" s="6" t="inlineStr">
        <is>
          <t>Executed</t>
        </is>
      </c>
      <c r="B9" s="6">
        <f>COUNTIF('Test Cases'!J4:J1000,"Pass")+COUNTIF('Test Cases'!J4:J1000,"Fail")+COUNTIF('Test Cases'!J4:J1000,"Blocked")+COUNTIF('Test Cases'!J4:J1000,"N/A")</f>
        <v/>
      </c>
      <c r="C9" s="6" t="inlineStr">
        <is>
          <t>Status not Not Run</t>
        </is>
      </c>
    </row>
    <row r="10" ht="15" customHeight="1">
      <c r="A10" s="6" t="inlineStr">
        <is>
          <t>Passed</t>
        </is>
      </c>
      <c r="B10" s="6">
        <f>COUNTIF('Test Cases'!J4:J1000,"Pass")</f>
        <v/>
      </c>
      <c r="C10" s="6" t="inlineStr">
        <is>
          <t>Status = Pass</t>
        </is>
      </c>
    </row>
    <row r="11" ht="15" customHeight="1">
      <c r="A11" s="6" t="inlineStr">
        <is>
          <t>Failed</t>
        </is>
      </c>
      <c r="B11" s="6">
        <f>COUNTIF('Test Cases'!J4:J1000,"Fail")</f>
        <v/>
      </c>
      <c r="C11" s="6" t="inlineStr">
        <is>
          <t>Status = Fail</t>
        </is>
      </c>
    </row>
    <row r="12" ht="15" customHeight="1">
      <c r="A12" s="6" t="inlineStr">
        <is>
          <t>Blocked</t>
        </is>
      </c>
      <c r="B12" s="6">
        <f>COUNTIF('Test Cases'!J4:J1000,"Blocked")</f>
        <v/>
      </c>
      <c r="C12" s="6" t="inlineStr">
        <is>
          <t>Status = Blocked</t>
        </is>
      </c>
    </row>
    <row r="13" ht="15" customHeight="1">
      <c r="A13" s="6" t="inlineStr">
        <is>
          <t>N/A</t>
        </is>
      </c>
      <c r="B13" s="6">
        <f>COUNTIF('Test Cases'!J4:J1000,"N/A")</f>
        <v/>
      </c>
      <c r="C13" s="6" t="inlineStr">
        <is>
          <t>Status = N/A</t>
        </is>
      </c>
    </row>
    <row r="14" ht="15" customHeight="1">
      <c r="A14" s="6" t="inlineStr">
        <is>
          <t>Not Run</t>
        </is>
      </c>
      <c r="B14" s="6">
        <f>COUNTIF('Test Cases'!J4:J1000,"Not Run")</f>
        <v/>
      </c>
      <c r="C14" s="6" t="inlineStr">
        <is>
          <t>Remaining</t>
        </is>
      </c>
    </row>
    <row r="15" ht="15" customHeight="1">
      <c r="A15" s="6" t="inlineStr">
        <is>
          <t>Pass rate</t>
        </is>
      </c>
      <c r="B15" s="7">
        <f>IFERROR(B10/(B10+B11),0)</f>
        <v/>
      </c>
      <c r="C15" s="6" t="inlineStr">
        <is>
          <t>Pass / (Pass + Fail)</t>
        </is>
      </c>
    </row>
    <row r="16" ht="15" customHeight="1">
      <c r="A16" s="6" t="inlineStr">
        <is>
          <t>Open defects</t>
        </is>
      </c>
      <c r="B16" s="6">
        <f>COUNTIFS(Defects!I4:I1000,"Open")+COUNTIFS(Defects!I4:I1000,"Triaged")+COUNTIFS(Defects!I4:I1000,"In Progress")+COUNTIFS(Defects!I4:I1000,"Ready to Re-test")</f>
        <v/>
      </c>
      <c r="C16" s="6" t="inlineStr">
        <is>
          <t>Defects sheet</t>
        </is>
      </c>
    </row>
    <row r="17" ht="15" customHeight="1">
      <c r="A17" s="6" t="inlineStr">
        <is>
          <t>Critical (S1) open</t>
        </is>
      </c>
      <c r="B17" s="6">
        <f>COUNTIFS(Defects!G4:G1000,"S1",Defects!I4:I1000,"&lt;&gt;Closed-Pass",Defects!I4:I1000,"&lt;&gt;Closed-Wont Fix",Defects!I4:I1000,"&lt;&gt;Closed-Duplicate")</f>
        <v/>
      </c>
      <c r="C17" s="6" t="inlineStr">
        <is>
          <t>Severity S1, not closed</t>
        </is>
      </c>
    </row>
    <row r="18" ht="15" customHeight="1">
      <c r="A18" s="6" t="inlineStr">
        <is>
          <t>High (S2) open</t>
        </is>
      </c>
      <c r="B18" s="6">
        <f>COUNTIFS(Defects!G4:G1000,"S2",Defects!I4:I1000,"&lt;&gt;Closed-Pass",Defects!I4:I1000,"&lt;&gt;Closed-Wont Fix",Defects!I4:I1000,"&lt;&gt;Closed-Duplicate")</f>
        <v/>
      </c>
      <c r="C18" s="6" t="inlineStr">
        <is>
          <t>Severity S2, not closed</t>
        </is>
      </c>
    </row>
    <row r="19" ht="15" customHeight="1">
      <c r="A19" s="6" t="inlineStr">
        <is>
          <t>Defects closed</t>
        </is>
      </c>
      <c r="B19" s="6">
        <f>COUNTIF(Defects!I4:I1000,"Closed-Pass")</f>
        <v/>
      </c>
      <c r="C19" s="6" t="inlineStr">
        <is>
          <t>Resolved</t>
        </is>
      </c>
    </row>
    <row r="21" ht="15" customHeight="1">
      <c r="A21" s="4" t="inlineStr">
        <is>
          <t>Daily UAT (automated)</t>
        </is>
      </c>
    </row>
    <row r="22" ht="15" customHeight="1">
      <c r="A22" s="5" t="inlineStr">
        <is>
          <t>Metric</t>
        </is>
      </c>
      <c r="B22" s="5" t="inlineStr">
        <is>
          <t>Value</t>
        </is>
      </c>
      <c r="C22" s="5" t="inlineStr">
        <is>
          <t>Source</t>
        </is>
      </c>
    </row>
    <row r="23" ht="15" customHeight="1">
      <c r="A23" s="6" t="inlineStr">
        <is>
          <t>Last run date</t>
        </is>
      </c>
      <c r="B23" s="6">
        <f>'Daily UAT'!E1</f>
        <v/>
      </c>
      <c r="C23" s="6" t="inlineStr">
        <is>
          <t>Most recent run column header</t>
        </is>
      </c>
    </row>
    <row r="24" ht="15" customHeight="1">
      <c r="A24" s="6" t="inlineStr">
        <is>
          <t>Last run pass rate</t>
        </is>
      </c>
      <c r="B24" s="7">
        <f>IFERROR('Daily UAT'!E22,0)</f>
        <v/>
      </c>
      <c r="C24" s="6" t="inlineStr">
        <is>
          <t>Pass count / total</t>
        </is>
      </c>
    </row>
    <row r="25" ht="15" customHeight="1">
      <c r="A25" s="6" t="inlineStr">
        <is>
          <t>Cases in daily set</t>
        </is>
      </c>
      <c r="B25" s="6">
        <f>COUNTA('Daily UAT'!A4:A21)</f>
        <v/>
      </c>
      <c r="C25" s="6" t="inlineStr">
        <is>
          <t>D-## rows</t>
        </is>
      </c>
    </row>
    <row r="26" ht="15" customHeight="1">
      <c r="A26" s="6" t="inlineStr">
        <is>
          <t>Days run</t>
        </is>
      </c>
      <c r="B26" s="6">
        <f>COUNTA('Daily UAT'!E2:ZZ2)</f>
        <v/>
      </c>
      <c r="C26" s="6" t="inlineStr">
        <is>
          <t>Date headers</t>
        </is>
      </c>
    </row>
    <row r="29" ht="15" customHeight="1">
      <c r="A29" s="4" t="inlineStr">
        <is>
          <t>Coverage by area</t>
        </is>
      </c>
    </row>
    <row r="30" ht="26.25" customHeight="1">
      <c r="A30" s="5" t="inlineStr">
        <is>
          <t>Area</t>
        </is>
      </c>
      <c r="B30" s="5" t="inlineStr">
        <is>
          <t>Total cases</t>
        </is>
      </c>
      <c r="C30" s="5" t="inlineStr">
        <is>
          <t>Pass</t>
        </is>
      </c>
      <c r="D30" s="5" t="inlineStr">
        <is>
          <t>Fail</t>
        </is>
      </c>
      <c r="E30" s="5" t="inlineStr">
        <is>
          <t>Blocked</t>
        </is>
      </c>
      <c r="F30" s="5" t="inlineStr">
        <is>
          <t>Not Run</t>
        </is>
      </c>
      <c r="G30" s="5" t="inlineStr">
        <is>
          <t>Pass %</t>
        </is>
      </c>
    </row>
    <row r="31" ht="15" customHeight="1">
      <c r="A31" s="6" t="inlineStr">
        <is>
          <t>LLP</t>
        </is>
      </c>
      <c r="B31" s="6">
        <f>COUNTIF('Test Cases'!A4:A1000,"*-LLP-*")</f>
        <v/>
      </c>
      <c r="C31" s="6">
        <f>COUNTIFS('Test Cases'!A4:A1000,"*-LLP-*",'Test Cases'!J4:J1000,"Pass")</f>
        <v/>
      </c>
      <c r="D31" s="6">
        <f>COUNTIFS('Test Cases'!A4:A1000,"*-LLP-*",'Test Cases'!J4:J1000,"Fail")</f>
        <v/>
      </c>
      <c r="E31" s="6">
        <f>COUNTIFS('Test Cases'!A4:A1000,"*-LLP-*",'Test Cases'!J4:J1000,"Blocked")</f>
        <v/>
      </c>
      <c r="F31" s="6">
        <f>B31-C31-D31-E31-COUNTIFS('Test Cases'!A4:A1000,"*-LLP-*",'Test Cases'!J4:J1000,"N/A")</f>
        <v/>
      </c>
      <c r="G31" s="7">
        <f>IFERROR(C31/(C31+D31),0)</f>
        <v/>
      </c>
    </row>
    <row r="32" ht="15" customHeight="1">
      <c r="A32" s="6" t="inlineStr">
        <is>
          <t>PRJ</t>
        </is>
      </c>
      <c r="B32" s="6">
        <f>COUNTIF('Test Cases'!A4:A1000,"*-PRJ-*")</f>
        <v/>
      </c>
      <c r="C32" s="6">
        <f>COUNTIFS('Test Cases'!A4:A1000,"*-PRJ-*",'Test Cases'!J4:J1000,"Pass")</f>
        <v/>
      </c>
      <c r="D32" s="6">
        <f>COUNTIFS('Test Cases'!A4:A1000,"*-PRJ-*",'Test Cases'!J4:J1000,"Fail")</f>
        <v/>
      </c>
      <c r="E32" s="6">
        <f>COUNTIFS('Test Cases'!A4:A1000,"*-PRJ-*",'Test Cases'!J4:J1000,"Blocked")</f>
        <v/>
      </c>
      <c r="F32" s="6">
        <f>B32-C32-D32-E32-COUNTIFS('Test Cases'!A4:A1000,"*-PRJ-*",'Test Cases'!J4:J1000,"N/A")</f>
        <v/>
      </c>
      <c r="G32" s="7">
        <f>IFERROR(C32/(C32+D32),0)</f>
        <v/>
      </c>
    </row>
    <row r="33" ht="15" customHeight="1">
      <c r="A33" s="6" t="inlineStr">
        <is>
          <t>INV</t>
        </is>
      </c>
      <c r="B33" s="6">
        <f>COUNTIF('Test Cases'!A4:A1000,"*-INV-*")</f>
        <v/>
      </c>
      <c r="C33" s="6">
        <f>COUNTIFS('Test Cases'!A4:A1000,"*-INV-*",'Test Cases'!J4:J1000,"Pass")</f>
        <v/>
      </c>
      <c r="D33" s="6">
        <f>COUNTIFS('Test Cases'!A4:A1000,"*-INV-*",'Test Cases'!J4:J1000,"Fail")</f>
        <v/>
      </c>
      <c r="E33" s="6">
        <f>COUNTIFS('Test Cases'!A4:A1000,"*-INV-*",'Test Cases'!J4:J1000,"Blocked")</f>
        <v/>
      </c>
      <c r="F33" s="6">
        <f>B33-C33-D33-E33-COUNTIFS('Test Cases'!A4:A1000,"*-INV-*",'Test Cases'!J4:J1000,"N/A")</f>
        <v/>
      </c>
      <c r="G33" s="7">
        <f>IFERROR(C33/(C33+D33),0)</f>
        <v/>
      </c>
    </row>
    <row r="34" ht="15" customHeight="1">
      <c r="A34" s="6" t="inlineStr">
        <is>
          <t>ALC</t>
        </is>
      </c>
      <c r="B34" s="6">
        <f>COUNTIF('Test Cases'!A4:A1000,"*-ALC-*")</f>
        <v/>
      </c>
      <c r="C34" s="6">
        <f>COUNTIFS('Test Cases'!A4:A1000,"*-ALC-*",'Test Cases'!J4:J1000,"Pass")</f>
        <v/>
      </c>
      <c r="D34" s="6">
        <f>COUNTIFS('Test Cases'!A4:A1000,"*-ALC-*",'Test Cases'!J4:J1000,"Fail")</f>
        <v/>
      </c>
      <c r="E34" s="6">
        <f>COUNTIFS('Test Cases'!A4:A1000,"*-ALC-*",'Test Cases'!J4:J1000,"Blocked")</f>
        <v/>
      </c>
      <c r="F34" s="6">
        <f>B34-C34-D34-E34-COUNTIFS('Test Cases'!A4:A1000,"*-ALC-*",'Test Cases'!J4:J1000,"N/A")</f>
        <v/>
      </c>
      <c r="G34" s="7">
        <f>IFERROR(C34/(C34+D34),0)</f>
        <v/>
      </c>
    </row>
    <row r="35" ht="15" customHeight="1">
      <c r="A35" s="6" t="inlineStr">
        <is>
          <t>AUTH</t>
        </is>
      </c>
      <c r="B35" s="6">
        <f>COUNTIF('Test Cases'!A4:A1000,"*-AUTH-*")</f>
        <v/>
      </c>
      <c r="C35" s="6">
        <f>COUNTIFS('Test Cases'!A4:A1000,"*-AUTH-*",'Test Cases'!J4:J1000,"Pass")</f>
        <v/>
      </c>
      <c r="D35" s="6">
        <f>COUNTIFS('Test Cases'!A4:A1000,"*-AUTH-*",'Test Cases'!J4:J1000,"Fail")</f>
        <v/>
      </c>
      <c r="E35" s="6">
        <f>COUNTIFS('Test Cases'!A4:A1000,"*-AUTH-*",'Test Cases'!J4:J1000,"Blocked")</f>
        <v/>
      </c>
      <c r="F35" s="6">
        <f>B35-C35-D35-E35-COUNTIFS('Test Cases'!A4:A1000,"*-AUTH-*",'Test Cases'!J4:J1000,"N/A")</f>
        <v/>
      </c>
      <c r="G35" s="7">
        <f>IFERROR(C35/(C35+D35),0)</f>
        <v/>
      </c>
    </row>
    <row r="36" ht="15" customHeight="1">
      <c r="A36" s="6" t="inlineStr">
        <is>
          <t>APP</t>
        </is>
      </c>
      <c r="B36" s="6">
        <f>COUNTIF('Test Cases'!A4:A1000,"*-APP-*")</f>
        <v/>
      </c>
      <c r="C36" s="6">
        <f>COUNTIFS('Test Cases'!A4:A1000,"*-APP-*",'Test Cases'!J4:J1000,"Pass")</f>
        <v/>
      </c>
      <c r="D36" s="6">
        <f>COUNTIFS('Test Cases'!A4:A1000,"*-APP-*",'Test Cases'!J4:J1000,"Fail")</f>
        <v/>
      </c>
      <c r="E36" s="6">
        <f>COUNTIFS('Test Cases'!A4:A1000,"*-APP-*",'Test Cases'!J4:J1000,"Blocked")</f>
        <v/>
      </c>
      <c r="F36" s="6">
        <f>B36-C36-D36-E36-COUNTIFS('Test Cases'!A4:A1000,"*-APP-*",'Test Cases'!J4:J1000,"N/A")</f>
        <v/>
      </c>
      <c r="G36" s="7">
        <f>IFERROR(C36/(C36+D36),0)</f>
        <v/>
      </c>
    </row>
    <row r="37" ht="15" customHeight="1">
      <c r="A37" s="6" t="inlineStr">
        <is>
          <t>DOC</t>
        </is>
      </c>
      <c r="B37" s="6">
        <f>COUNTIF('Test Cases'!A4:A1000,"*-DOC-*")</f>
        <v/>
      </c>
      <c r="C37" s="6">
        <f>COUNTIFS('Test Cases'!A4:A1000,"*-DOC-*",'Test Cases'!J4:J1000,"Pass")</f>
        <v/>
      </c>
      <c r="D37" s="6">
        <f>COUNTIFS('Test Cases'!A4:A1000,"*-DOC-*",'Test Cases'!J4:J1000,"Fail")</f>
        <v/>
      </c>
      <c r="E37" s="6">
        <f>COUNTIFS('Test Cases'!A4:A1000,"*-DOC-*",'Test Cases'!J4:J1000,"Blocked")</f>
        <v/>
      </c>
      <c r="F37" s="6">
        <f>B37-C37-D37-E37-COUNTIFS('Test Cases'!A4:A1000,"*-DOC-*",'Test Cases'!J4:J1000,"N/A")</f>
        <v/>
      </c>
      <c r="G37" s="7">
        <f>IFERROR(C37/(C37+D37),0)</f>
        <v/>
      </c>
    </row>
    <row r="38" ht="15" customHeight="1">
      <c r="A38" s="6" t="inlineStr">
        <is>
          <t>EXIT</t>
        </is>
      </c>
      <c r="B38" s="6">
        <f>COUNTIF('Test Cases'!A4:A1000,"*-EXIT-*")</f>
        <v/>
      </c>
      <c r="C38" s="6">
        <f>COUNTIFS('Test Cases'!A4:A1000,"*-EXIT-*",'Test Cases'!J4:J1000,"Pass")</f>
        <v/>
      </c>
      <c r="D38" s="6">
        <f>COUNTIFS('Test Cases'!A4:A1000,"*-EXIT-*",'Test Cases'!J4:J1000,"Fail")</f>
        <v/>
      </c>
      <c r="E38" s="6">
        <f>COUNTIFS('Test Cases'!A4:A1000,"*-EXIT-*",'Test Cases'!J4:J1000,"Blocked")</f>
        <v/>
      </c>
      <c r="F38" s="6">
        <f>B38-C38-D38-E38-COUNTIFS('Test Cases'!A4:A1000,"*-EXIT-*",'Test Cases'!J4:J1000,"N/A")</f>
        <v/>
      </c>
      <c r="G38" s="7">
        <f>IFERROR(C38/(C38+D38),0)</f>
        <v/>
      </c>
    </row>
    <row r="39" ht="15" customHeight="1">
      <c r="A39" s="6" t="inlineStr">
        <is>
          <t>SYNC</t>
        </is>
      </c>
      <c r="B39" s="6">
        <f>COUNTIF('Test Cases'!A4:A1000,"*-SYNC-*")</f>
        <v/>
      </c>
      <c r="C39" s="6">
        <f>COUNTIFS('Test Cases'!A4:A1000,"*-SYNC-*",'Test Cases'!J4:J1000,"Pass")</f>
        <v/>
      </c>
      <c r="D39" s="6">
        <f>COUNTIFS('Test Cases'!A4:A1000,"*-SYNC-*",'Test Cases'!J4:J1000,"Fail")</f>
        <v/>
      </c>
      <c r="E39" s="6">
        <f>COUNTIFS('Test Cases'!A4:A1000,"*-SYNC-*",'Test Cases'!J4:J1000,"Blocked")</f>
        <v/>
      </c>
      <c r="F39" s="6">
        <f>B39-C39-D39-E39-COUNTIFS('Test Cases'!A4:A1000,"*-SYNC-*",'Test Cases'!J4:J1000,"N/A")</f>
        <v/>
      </c>
      <c r="G39" s="7">
        <f>IFERROR(C39/(C39+D39),0)</f>
        <v/>
      </c>
    </row>
    <row r="40" ht="15" customHeight="1">
      <c r="A40" s="6" t="inlineStr">
        <is>
          <t>RLS</t>
        </is>
      </c>
      <c r="B40" s="6">
        <f>COUNTIF('Test Cases'!A4:A1000,"*-RLS-*")</f>
        <v/>
      </c>
      <c r="C40" s="6">
        <f>COUNTIFS('Test Cases'!A4:A1000,"*-RLS-*",'Test Cases'!J4:J1000,"Pass")</f>
        <v/>
      </c>
      <c r="D40" s="6">
        <f>COUNTIFS('Test Cases'!A4:A1000,"*-RLS-*",'Test Cases'!J4:J1000,"Fail")</f>
        <v/>
      </c>
      <c r="E40" s="6">
        <f>COUNTIFS('Test Cases'!A4:A1000,"*-RLS-*",'Test Cases'!J4:J1000,"Blocked")</f>
        <v/>
      </c>
      <c r="F40" s="6">
        <f>B40-C40-D40-E40-COUNTIFS('Test Cases'!A4:A1000,"*-RLS-*",'Test Cases'!J4:J1000,"N/A")</f>
        <v/>
      </c>
      <c r="G40" s="7">
        <f>IFERROR(C40/(C40+D40),0)</f>
        <v/>
      </c>
    </row>
    <row r="41" ht="15" customHeight="1">
      <c r="A41" s="6" t="inlineStr">
        <is>
          <t>OBS</t>
        </is>
      </c>
      <c r="B41" s="6">
        <f>COUNTIF('Test Cases'!A4:A1000,"*-OBS-*")</f>
        <v/>
      </c>
      <c r="C41" s="6">
        <f>COUNTIFS('Test Cases'!A4:A1000,"*-OBS-*",'Test Cases'!J4:J1000,"Pass")</f>
        <v/>
      </c>
      <c r="D41" s="6">
        <f>COUNTIFS('Test Cases'!A4:A1000,"*-OBS-*",'Test Cases'!J4:J1000,"Fail")</f>
        <v/>
      </c>
      <c r="E41" s="6">
        <f>COUNTIFS('Test Cases'!A4:A1000,"*-OBS-*",'Test Cases'!J4:J1000,"Blocked")</f>
        <v/>
      </c>
      <c r="F41" s="6">
        <f>B41-C41-D41-E41-COUNTIFS('Test Cases'!A4:A1000,"*-OBS-*",'Test Cases'!J4:J1000,"N/A")</f>
        <v/>
      </c>
      <c r="G41" s="7">
        <f>IFERROR(C41/(C41+D41),0)</f>
        <v/>
      </c>
    </row>
    <row r="42" ht="15" customHeight="1">
      <c r="A42" s="6" t="inlineStr">
        <is>
          <t>NEG</t>
        </is>
      </c>
      <c r="B42" s="6">
        <f>COUNTIF('Test Cases'!A4:A1000,"*-NEG-*")</f>
        <v/>
      </c>
      <c r="C42" s="6">
        <f>COUNTIFS('Test Cases'!A4:A1000,"*-NEG-*",'Test Cases'!J4:J1000,"Pass")</f>
        <v/>
      </c>
      <c r="D42" s="6">
        <f>COUNTIFS('Test Cases'!A4:A1000,"*-NEG-*",'Test Cases'!J4:J1000,"Fail")</f>
        <v/>
      </c>
      <c r="E42" s="6">
        <f>COUNTIFS('Test Cases'!A4:A1000,"*-NEG-*",'Test Cases'!J4:J1000,"Blocked")</f>
        <v/>
      </c>
      <c r="F42" s="6">
        <f>B42-C42-D42-E42-COUNTIFS('Test Cases'!A4:A1000,"*-NEG-*",'Test Cases'!J4:J1000,"N/A")</f>
        <v/>
      </c>
      <c r="G42" s="7">
        <f>IFERROR(C42/(C42+D42),0)</f>
        <v/>
      </c>
    </row>
    <row r="44" ht="15" customHeight="1">
      <c r="A44" s="4" t="inlineStr">
        <is>
          <t>Notes</t>
        </is>
      </c>
    </row>
    <row r="45" ht="15" customHeight="1">
      <c r="A45" s="3" t="inlineStr">
        <is>
          <t>1. CRM is observed only. Demo records have name suffix '-demo'. Never write to CRM during testing.</t>
        </is>
      </c>
    </row>
    <row r="46" ht="15" customHeight="1">
      <c r="A46" s="3" t="inlineStr">
        <is>
          <t>2. Fixture Spec sheet is the bridge — fill CRM ID for each F-* row before running cases.</t>
        </is>
      </c>
    </row>
    <row r="47" ht="15" customHeight="1">
      <c r="A47" s="3" t="inlineStr">
        <is>
          <t>3. Test Cases sheet = weekly/pre-release human pass. Daily UAT sheet = automated daily run.</t>
        </is>
      </c>
    </row>
    <row r="48" ht="15" customHeight="1">
      <c r="A48" s="3" t="inlineStr">
        <is>
          <t>4. File defects in Defects sheet AND as docs/testing/defects/DEF-####.md.</t>
        </is>
      </c>
    </row>
    <row r="49" ht="15" customHeight="1">
      <c r="A49" s="3" t="inlineStr">
        <is>
          <t>5. Layer dropdown excludes CRM (we do not test by writing to CRM).</t>
        </is>
      </c>
    </row>
  </sheetData>
  <mergeCells count="6">
    <mergeCell ref="A1:G1"/>
    <mergeCell ref="A48:G48"/>
    <mergeCell ref="A49:G49"/>
    <mergeCell ref="A47:G47"/>
    <mergeCell ref="A45:G45"/>
    <mergeCell ref="A46:G46"/>
  </mergeCells>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2.xml><?xml version="1.0" encoding="utf-8"?>
<worksheet xmlns="http://schemas.openxmlformats.org/spreadsheetml/2006/main">
  <sheetPr>
    <outlinePr summaryBelow="1" summaryRight="1"/>
    <pageSetUpPr/>
  </sheetPr>
  <dimension ref="A1:G26"/>
  <sheetViews>
    <sheetView view="normal" zoomScale="100" zoomScaleNormal="100" workbookViewId="0">
      <pane ySplit="4" topLeftCell="A5" activePane="bottomLeft" state="frozen"/>
      <selection pane="bottomLeft" activeCell="A1" sqref="A1"/>
    </sheetView>
  </sheetViews>
  <sheetFormatPr baseColWidth="8" defaultColWidth="8.6796875" defaultRowHeight="15" outlineLevelRow="0"/>
  <cols>
    <col width="14" customWidth="1" style="1" min="1" max="1"/>
    <col width="12" customWidth="1" style="1" min="2" max="2"/>
    <col width="50" customWidth="1" style="1" min="3" max="3"/>
    <col width="22" customWidth="1" style="1" min="4" max="4"/>
    <col width="14" customWidth="1" style="1" min="5" max="5"/>
    <col width="18" customWidth="1" style="1" min="6" max="6"/>
    <col width="30" customWidth="1" style="1" min="7" max="7"/>
  </cols>
  <sheetData>
    <row r="1" ht="19.5" customHeight="1">
      <c r="A1" s="2" t="inlineStr">
        <is>
          <t>Fixture Spec — '-demo' records required in CRM</t>
        </is>
      </c>
    </row>
    <row r="2" ht="15" customHeight="1">
      <c r="A2" s="3" t="inlineStr">
        <is>
          <t>Create these in Zoho CRM with name suffix '-demo'. Fill CRM ID and Supabase verification status.</t>
        </is>
      </c>
    </row>
    <row r="4" ht="26.25" customHeight="1">
      <c r="A4" s="5" t="inlineStr">
        <is>
          <t>Fixture key</t>
        </is>
      </c>
      <c r="B4" s="5" t="inlineStr">
        <is>
          <t>Type</t>
        </is>
      </c>
      <c r="C4" s="5" t="inlineStr">
        <is>
          <t>Required attributes</t>
        </is>
      </c>
      <c r="D4" s="5" t="inlineStr">
        <is>
          <t>CRM ID (fill in)</t>
        </is>
      </c>
      <c r="E4" s="5" t="inlineStr">
        <is>
          <t>Verified in CRM</t>
        </is>
      </c>
      <c r="F4" s="5" t="inlineStr">
        <is>
          <t>Verified in Supabase</t>
        </is>
      </c>
      <c r="G4" s="5" t="inlineStr">
        <is>
          <t>Notes</t>
        </is>
      </c>
    </row>
    <row r="5" ht="15" customHeight="1">
      <c r="A5" s="8" t="inlineStr">
        <is>
          <t>F-LLP-A</t>
        </is>
      </c>
      <c r="B5" s="9" t="inlineStr">
        <is>
          <t>LLP</t>
        </is>
      </c>
      <c r="C5" s="9" t="inlineStr">
        <is>
          <t>Active LLP with 2 child projects (1 Active, 1 Not Started)</t>
        </is>
      </c>
      <c r="D5" s="9" t="inlineStr">
        <is>
          <t>1169101000001433001</t>
        </is>
      </c>
      <c r="E5" s="9" t="inlineStr">
        <is>
          <t>Yes</t>
        </is>
      </c>
      <c r="F5" s="9" t="inlineStr">
        <is>
          <t>No</t>
        </is>
      </c>
      <c r="G5" s="9" t="n"/>
    </row>
    <row r="6" ht="15" customHeight="1">
      <c r="A6" s="8" t="inlineStr">
        <is>
          <t>F-LLP-B</t>
        </is>
      </c>
      <c r="B6" s="9" t="inlineStr">
        <is>
          <t>LLP</t>
        </is>
      </c>
      <c r="C6" s="9" t="inlineStr">
        <is>
          <t>Active LLP with 1 active project, single allocated investor</t>
        </is>
      </c>
      <c r="D6" s="9" t="inlineStr">
        <is>
          <t>1169101000001433017</t>
        </is>
      </c>
      <c r="E6" s="9" t="inlineStr">
        <is>
          <t>Yes</t>
        </is>
      </c>
      <c r="F6" s="9" t="inlineStr">
        <is>
          <t>No</t>
        </is>
      </c>
      <c r="G6" s="9" t="n"/>
    </row>
    <row r="7" ht="15" customHeight="1">
      <c r="A7" s="8" t="inlineStr">
        <is>
          <t>F-LLP-C</t>
        </is>
      </c>
      <c r="B7" s="9" t="inlineStr">
        <is>
          <t>LLP</t>
        </is>
      </c>
      <c r="C7" s="9" t="inlineStr">
        <is>
          <t>Active LLP with zero projects</t>
        </is>
      </c>
      <c r="D7" s="9" t="inlineStr">
        <is>
          <t>1169101000001439003</t>
        </is>
      </c>
      <c r="E7" s="9" t="inlineStr">
        <is>
          <t>Yes</t>
        </is>
      </c>
      <c r="F7" s="9" t="inlineStr">
        <is>
          <t>No</t>
        </is>
      </c>
      <c r="G7" s="9" t="n"/>
    </row>
    <row r="8" ht="15" customHeight="1">
      <c r="A8" s="8" t="inlineStr">
        <is>
          <t>F-LLP-A2</t>
        </is>
      </c>
      <c r="B8" s="9" t="inlineStr">
        <is>
          <t>LLP</t>
        </is>
      </c>
      <c r="C8" s="9" t="inlineStr">
        <is>
          <t>LLP/project, status Open for Reservation (Not Started). 500 units, ₹20000/unit. Used by SC-ALC-002.</t>
        </is>
      </c>
      <c r="D8" s="9" t="inlineStr">
        <is>
          <t>1169101000001433016</t>
        </is>
      </c>
      <c r="E8" s="9" t="inlineStr">
        <is>
          <t>Yes</t>
        </is>
      </c>
      <c r="F8" s="9" t="inlineStr">
        <is>
          <t>No</t>
        </is>
      </c>
      <c r="G8" s="9" t="n"/>
    </row>
    <row r="9" ht="15" customHeight="1">
      <c r="A9" s="8" t="inlineStr">
        <is>
          <t>F-LLP-EXIT</t>
        </is>
      </c>
      <c r="B9" s="9" t="inlineStr">
        <is>
          <t>LLP</t>
        </is>
      </c>
      <c r="C9" s="9" t="inlineStr">
        <is>
          <t>LLP/project, status Fully Subscribed/Closed. 600 units, ₹15000/unit. Used by SC-EXIT-001.</t>
        </is>
      </c>
      <c r="D9" s="9" t="inlineStr">
        <is>
          <t>1169101000001433018</t>
        </is>
      </c>
      <c r="E9" s="9" t="inlineStr">
        <is>
          <t>Yes</t>
        </is>
      </c>
      <c r="F9" s="9" t="inlineStr">
        <is>
          <t>No</t>
        </is>
      </c>
      <c r="G9" s="9" t="n"/>
    </row>
    <row r="10" ht="15" customHeight="1">
      <c r="A10" s="8" t="inlineStr">
        <is>
          <t>(unused)</t>
        </is>
      </c>
      <c r="B10" s="9" t="n"/>
      <c r="C10" s="9" t="inlineStr">
        <is>
          <t>Was F-PRJ-B1; merged into F-LLP-B per rewrite (LLP = project).</t>
        </is>
      </c>
      <c r="D10" s="9" t="n"/>
      <c r="E10" s="9" t="inlineStr">
        <is>
          <t>N/A</t>
        </is>
      </c>
      <c r="F10" s="9" t="inlineStr">
        <is>
          <t>N/A</t>
        </is>
      </c>
      <c r="G10" s="9" t="n"/>
    </row>
    <row r="11" ht="15" customHeight="1">
      <c r="A11" s="8" t="inlineStr">
        <is>
          <t>(unused)</t>
        </is>
      </c>
      <c r="B11" s="9" t="n"/>
      <c r="C11" s="9" t="inlineStr">
        <is>
          <t>Was F-PRJ-EXIT; merged into F-LLP-EXIT per rewrite (LLP = project).</t>
        </is>
      </c>
      <c r="D11" s="9" t="n"/>
      <c r="E11" s="9" t="inlineStr">
        <is>
          <t>N/A</t>
        </is>
      </c>
      <c r="F11" s="9" t="inlineStr">
        <is>
          <t>N/A</t>
        </is>
      </c>
      <c r="G11" s="9" t="n"/>
    </row>
    <row r="12" ht="15" customHeight="1">
      <c r="A12" s="8" t="inlineStr">
        <is>
          <t>F-INV-01</t>
        </is>
      </c>
      <c r="B12" s="9" t="inlineStr">
        <is>
          <t>Investor</t>
        </is>
      </c>
      <c r="C12" s="9" t="inlineStr">
        <is>
          <t>Onboarded. One Paid + Active allocation.</t>
        </is>
      </c>
      <c r="D12" s="9" t="inlineStr">
        <is>
          <t>1169101000001467016</t>
        </is>
      </c>
      <c r="E12" s="9" t="inlineStr">
        <is>
          <t>Yes</t>
        </is>
      </c>
      <c r="F12" s="9" t="inlineStr">
        <is>
          <t>No</t>
        </is>
      </c>
      <c r="G12" s="9" t="n"/>
    </row>
    <row r="13" ht="15" customHeight="1">
      <c r="A13" s="8" t="inlineStr">
        <is>
          <t>F-INV-02</t>
        </is>
      </c>
      <c r="B13" s="9" t="inlineStr">
        <is>
          <t>Investor</t>
        </is>
      </c>
      <c r="C13" s="9" t="inlineStr">
        <is>
          <t>Onboarded. One Paid + Not Started allocation.</t>
        </is>
      </c>
      <c r="D13" s="9" t="inlineStr">
        <is>
          <t>1169101000001467017</t>
        </is>
      </c>
      <c r="E13" s="9" t="inlineStr">
        <is>
          <t>Yes</t>
        </is>
      </c>
      <c r="F13" s="9" t="inlineStr">
        <is>
          <t>No</t>
        </is>
      </c>
      <c r="G13" s="9" t="n"/>
    </row>
    <row r="14" ht="15" customHeight="1">
      <c r="A14" s="8" t="inlineStr">
        <is>
          <t>F-INV-03</t>
        </is>
      </c>
      <c r="B14" s="9" t="inlineStr">
        <is>
          <t>Investor</t>
        </is>
      </c>
      <c r="C14" s="9" t="inlineStr">
        <is>
          <t>Onboarded. One Pending allocation (paid 0).</t>
        </is>
      </c>
      <c r="D14" s="9" t="inlineStr">
        <is>
          <t>1169101000001467018</t>
        </is>
      </c>
      <c r="E14" s="9" t="inlineStr">
        <is>
          <t>Yes</t>
        </is>
      </c>
      <c r="F14" s="9" t="inlineStr">
        <is>
          <t>No</t>
        </is>
      </c>
      <c r="G14" s="9" t="n"/>
    </row>
    <row r="15" ht="15" customHeight="1">
      <c r="A15" s="8" t="inlineStr">
        <is>
          <t>F-INV-04</t>
        </is>
      </c>
      <c r="B15" s="9" t="inlineStr">
        <is>
          <t>Investor</t>
        </is>
      </c>
      <c r="C15" s="9" t="inlineStr">
        <is>
          <t>Onboarded. One Partial allocation (paid 50%).</t>
        </is>
      </c>
      <c r="D15" s="9" t="inlineStr">
        <is>
          <t>1169101000001467019</t>
        </is>
      </c>
      <c r="E15" s="9" t="inlineStr">
        <is>
          <t>Yes</t>
        </is>
      </c>
      <c r="F15" s="9" t="inlineStr">
        <is>
          <t>No</t>
        </is>
      </c>
      <c r="G15" s="9" t="n"/>
    </row>
    <row r="16" ht="15" customHeight="1">
      <c r="A16" s="8" t="inlineStr">
        <is>
          <t>F-INV-05</t>
        </is>
      </c>
      <c r="B16" s="9" t="inlineStr">
        <is>
          <t>Investor</t>
        </is>
      </c>
      <c r="C16" s="9" t="inlineStr">
        <is>
          <t>Onboarded. Multi-project across two LLPs.</t>
        </is>
      </c>
      <c r="D16" s="9" t="inlineStr">
        <is>
          <t>1169101000001467020</t>
        </is>
      </c>
      <c r="E16" s="9" t="inlineStr">
        <is>
          <t>Yes</t>
        </is>
      </c>
      <c r="F16" s="9" t="inlineStr">
        <is>
          <t>No</t>
        </is>
      </c>
      <c r="G16" s="9" t="n"/>
    </row>
    <row r="17" ht="15" customHeight="1">
      <c r="A17" s="8" t="inlineStr">
        <is>
          <t>F-INV-06</t>
        </is>
      </c>
      <c r="B17" s="9" t="inlineStr">
        <is>
          <t>Investor</t>
        </is>
      </c>
      <c r="C17" s="9" t="inlineStr">
        <is>
          <t>Onboarded. Zero allocations (empty-state).</t>
        </is>
      </c>
      <c r="D17" s="9" t="inlineStr">
        <is>
          <t>1169101000001467021</t>
        </is>
      </c>
      <c r="E17" s="9" t="inlineStr">
        <is>
          <t>Yes</t>
        </is>
      </c>
      <c r="F17" s="9" t="inlineStr">
        <is>
          <t>No</t>
        </is>
      </c>
      <c r="G17" s="9" t="n"/>
    </row>
    <row r="18" ht="15" customHeight="1">
      <c r="A18" s="8" t="inlineStr">
        <is>
          <t>F-INV-07</t>
        </is>
      </c>
      <c r="B18" s="9" t="inlineStr">
        <is>
          <t>Investor</t>
        </is>
      </c>
      <c r="C18" s="9" t="inlineStr">
        <is>
          <t>Two CRM contacts share same email (negative).</t>
        </is>
      </c>
      <c r="D18" s="9" t="inlineStr">
        <is>
          <t>1169101000001467022</t>
        </is>
      </c>
      <c r="E18" s="9" t="inlineStr">
        <is>
          <t>Yes</t>
        </is>
      </c>
      <c r="F18" s="9" t="inlineStr">
        <is>
          <t>No</t>
        </is>
      </c>
      <c r="G18" s="9" t="n"/>
    </row>
    <row r="19" ht="15" customHeight="1">
      <c r="A19" s="8" t="inlineStr">
        <is>
          <t>F-ALC-01</t>
        </is>
      </c>
      <c r="B19" s="9" t="inlineStr">
        <is>
          <t>Allocation</t>
        </is>
      </c>
      <c r="C19" s="9" t="inlineStr">
        <is>
          <t>F-INV-01 -&gt; F-PRJ-A1. Paid + Active.</t>
        </is>
      </c>
      <c r="D19" s="9" t="inlineStr">
        <is>
          <t>1169101000001466002</t>
        </is>
      </c>
      <c r="E19" s="9" t="inlineStr">
        <is>
          <t>Yes</t>
        </is>
      </c>
      <c r="F19" s="9" t="inlineStr">
        <is>
          <t>No</t>
        </is>
      </c>
      <c r="G19" s="9" t="n"/>
    </row>
    <row r="20" ht="15" customHeight="1">
      <c r="A20" s="8" t="inlineStr">
        <is>
          <t>F-ALC-02</t>
        </is>
      </c>
      <c r="B20" s="9" t="inlineStr">
        <is>
          <t>Allocation</t>
        </is>
      </c>
      <c r="C20" s="9" t="inlineStr">
        <is>
          <t>F-INV-02 -&gt; F-PRJ-A2. Paid + Not Started.</t>
        </is>
      </c>
      <c r="D20" s="9" t="inlineStr">
        <is>
          <t>1169101000001430008</t>
        </is>
      </c>
      <c r="E20" s="9" t="inlineStr">
        <is>
          <t>Yes</t>
        </is>
      </c>
      <c r="F20" s="9" t="inlineStr">
        <is>
          <t>No</t>
        </is>
      </c>
      <c r="G20" s="9" t="n"/>
    </row>
    <row r="21" ht="15" customHeight="1">
      <c r="A21" s="8" t="inlineStr">
        <is>
          <t>F-ALC-03</t>
        </is>
      </c>
      <c r="B21" s="9" t="inlineStr">
        <is>
          <t>Allocation</t>
        </is>
      </c>
      <c r="C21" s="9" t="inlineStr">
        <is>
          <t>F-INV-03 -&gt; F-PRJ-A1. Pending (paid=0).</t>
        </is>
      </c>
      <c r="D21" s="9" t="inlineStr">
        <is>
          <t>1169101000001430009</t>
        </is>
      </c>
      <c r="E21" s="9" t="inlineStr">
        <is>
          <t>Yes</t>
        </is>
      </c>
      <c r="F21" s="9" t="inlineStr">
        <is>
          <t>No</t>
        </is>
      </c>
      <c r="G21" s="9" t="n"/>
    </row>
    <row r="22" ht="15" customHeight="1">
      <c r="A22" s="8" t="inlineStr">
        <is>
          <t>F-ALC-04</t>
        </is>
      </c>
      <c r="B22" s="9" t="inlineStr">
        <is>
          <t>Allocation</t>
        </is>
      </c>
      <c r="C22" s="9" t="inlineStr">
        <is>
          <t>F-INV-04 -&gt; F-PRJ-A1. Partial (paid 50%).</t>
        </is>
      </c>
      <c r="D22" s="9" t="inlineStr">
        <is>
          <t>1169101000001430010</t>
        </is>
      </c>
      <c r="E22" s="9" t="inlineStr">
        <is>
          <t>Yes</t>
        </is>
      </c>
      <c r="F22" s="9" t="inlineStr">
        <is>
          <t>No</t>
        </is>
      </c>
      <c r="G22" s="9" t="n"/>
    </row>
    <row r="23" ht="15" customHeight="1">
      <c r="A23" s="8" t="inlineStr">
        <is>
          <t>F-ALC-05</t>
        </is>
      </c>
      <c r="B23" s="9" t="inlineStr">
        <is>
          <t>Allocation</t>
        </is>
      </c>
      <c r="C23" s="9" t="inlineStr">
        <is>
          <t>F-INV-05 -&gt; F-PRJ-A1. Paid + Active.</t>
        </is>
      </c>
      <c r="D23" s="9" t="inlineStr">
        <is>
          <t>1169101000001430011</t>
        </is>
      </c>
      <c r="E23" s="9" t="inlineStr">
        <is>
          <t>Yes</t>
        </is>
      </c>
      <c r="F23" s="9" t="inlineStr">
        <is>
          <t>No</t>
        </is>
      </c>
      <c r="G23" s="9" t="n"/>
    </row>
    <row r="24" ht="15" customHeight="1">
      <c r="A24" s="8" t="inlineStr">
        <is>
          <t>F-ALC-06</t>
        </is>
      </c>
      <c r="B24" s="9" t="inlineStr">
        <is>
          <t>Allocation</t>
        </is>
      </c>
      <c r="C24" s="9" t="inlineStr">
        <is>
          <t>F-INV-05 -&gt; F-PRJ-B1. Paid + Active.</t>
        </is>
      </c>
      <c r="D24" s="9" t="inlineStr">
        <is>
          <t>1169101000001430012</t>
        </is>
      </c>
      <c r="E24" s="9" t="inlineStr">
        <is>
          <t>Yes</t>
        </is>
      </c>
      <c r="F24" s="9" t="inlineStr">
        <is>
          <t>No</t>
        </is>
      </c>
      <c r="G24" s="9" t="n"/>
    </row>
    <row r="25" ht="15" customHeight="1">
      <c r="A25" s="8" t="inlineStr">
        <is>
          <t>F-ALC-EXIT</t>
        </is>
      </c>
      <c r="B25" s="9" t="inlineStr">
        <is>
          <t>Allocation</t>
        </is>
      </c>
      <c r="C25" s="9" t="inlineStr">
        <is>
          <t>F-INV-01 -&gt; F-PRJ-EXIT. Closed with payout.</t>
        </is>
      </c>
      <c r="D25" s="9" t="inlineStr">
        <is>
          <t>1169101000001430013</t>
        </is>
      </c>
      <c r="E25" s="9" t="inlineStr">
        <is>
          <t>Yes</t>
        </is>
      </c>
      <c r="F25" s="9" t="inlineStr">
        <is>
          <t>No</t>
        </is>
      </c>
      <c r="G25" s="9" t="n"/>
    </row>
    <row r="26" ht="15" customHeight="1">
      <c r="A26" s="8" t="inlineStr">
        <is>
          <t>F-DOC-01</t>
        </is>
      </c>
      <c r="B26" s="9" t="inlineStr">
        <is>
          <t>Document</t>
        </is>
      </c>
      <c r="C26" s="9" t="inlineStr">
        <is>
          <t>One PDF scoped to F-INV-01 only.</t>
        </is>
      </c>
      <c r="D26" s="9" t="n"/>
      <c r="E26" s="9" t="inlineStr">
        <is>
          <t>No</t>
        </is>
      </c>
      <c r="F26" s="9" t="inlineStr">
        <is>
          <t>No</t>
        </is>
      </c>
      <c r="G26" s="9" t="n"/>
    </row>
  </sheetData>
  <mergeCells count="1">
    <mergeCell ref="A1:G1"/>
  </mergeCells>
  <conditionalFormatting sqref="E5:E26">
    <cfRule type="cellIs" priority="2" operator="equal" dxfId="0">
      <formula>"Yes"</formula>
    </cfRule>
    <cfRule type="cellIs" priority="3" operator="equal" dxfId="1">
      <formula>"No"</formula>
    </cfRule>
  </conditionalFormatting>
  <conditionalFormatting sqref="F5:F26">
    <cfRule type="cellIs" priority="4" operator="equal" dxfId="0">
      <formula>"Yes"</formula>
    </cfRule>
    <cfRule type="cellIs" priority="5" operator="equal" dxfId="1">
      <formula>"No"</formula>
    </cfRule>
  </conditionalFormatting>
  <dataValidations count="2">
    <dataValidation sqref="E10:F26" showDropDown="0" showInputMessage="0" showErrorMessage="0" allowBlank="1" type="list" errorStyle="stop">
      <formula1>"No,Yes,N/A"</formula1>
      <formula2>0</formula2>
    </dataValidation>
    <dataValidation sqref="E5:F26" showDropDown="0" showInputMessage="0" showErrorMessage="0" allowBlank="1" type="list" errorStyle="stop">
      <formula1>"No,Yes,N/A"</formula1>
      <formula2>0</formula2>
    </dataValidation>
  </dataValidations>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3.xml><?xml version="1.0" encoding="utf-8"?>
<worksheet xmlns="http://schemas.openxmlformats.org/spreadsheetml/2006/main">
  <sheetPr>
    <outlinePr summaryBelow="1" summaryRight="1"/>
    <pageSetUpPr/>
  </sheetPr>
  <dimension ref="A1:G20"/>
  <sheetViews>
    <sheetView view="normal" zoomScale="100" zoomScaleNormal="100" workbookViewId="0">
      <selection activeCell="A1" sqref="A1"/>
    </sheetView>
  </sheetViews>
  <sheetFormatPr baseColWidth="8" defaultColWidth="8.6796875" defaultRowHeight="15" outlineLevelRow="0"/>
  <cols>
    <col width="14" customWidth="1" style="1" min="1" max="1"/>
    <col width="8" customWidth="1" style="1" min="2" max="2"/>
    <col width="36" customWidth="1" style="1" min="3" max="3"/>
    <col width="50" customWidth="1" style="1" min="4" max="4"/>
    <col width="30" customWidth="1" style="1" min="5" max="5"/>
    <col width="22" customWidth="1" style="1" min="6" max="6"/>
    <col width="14" customWidth="1" style="1" min="7" max="7"/>
  </cols>
  <sheetData>
    <row r="1" ht="19.5" customHeight="1">
      <c r="A1" s="2" t="inlineStr">
        <is>
          <t>Test Scenarios</t>
        </is>
      </c>
    </row>
    <row r="3" ht="27.75" customHeight="1">
      <c r="A3" s="5" t="inlineStr">
        <is>
          <t>Scenario ID</t>
        </is>
      </c>
      <c r="B3" s="5" t="inlineStr">
        <is>
          <t>Area</t>
        </is>
      </c>
      <c r="C3" s="5" t="inlineStr">
        <is>
          <t>Title</t>
        </is>
      </c>
      <c r="D3" s="5" t="inlineStr">
        <is>
          <t>Goal</t>
        </is>
      </c>
      <c r="E3" s="5" t="inlineStr">
        <is>
          <t>Required fixtures</t>
        </is>
      </c>
      <c r="F3" s="5" t="inlineStr">
        <is>
          <t>Linked test cases</t>
        </is>
      </c>
      <c r="G3" s="5" t="inlineStr">
        <is>
          <t>Status</t>
        </is>
      </c>
    </row>
    <row r="4" ht="49.5" customHeight="1">
      <c r="A4" s="9" t="inlineStr">
        <is>
          <t>SC-LLP-001</t>
        </is>
      </c>
      <c r="B4" s="9" t="inlineStr">
        <is>
          <t>LLP</t>
        </is>
      </c>
      <c r="C4" s="9" t="inlineStr">
        <is>
          <t>LLP visibility</t>
        </is>
      </c>
      <c r="D4" s="9" t="inlineStr">
        <is>
          <t>Demo LLP in CRM is reflected in Supabase and visible in app.</t>
        </is>
      </c>
      <c r="E4" s="9" t="inlineStr">
        <is>
          <t>F-LLP-A</t>
        </is>
      </c>
      <c r="F4" s="9" t="inlineStr">
        <is>
          <t>TC-LLP-001-01..04</t>
        </is>
      </c>
      <c r="G4" s="10" t="inlineStr">
        <is>
          <t>Not Started</t>
        </is>
      </c>
    </row>
    <row r="5" ht="49.5" customHeight="1">
      <c r="A5" s="9" t="inlineStr">
        <is>
          <t>SC-LLP-002</t>
        </is>
      </c>
      <c r="B5" s="9" t="inlineStr">
        <is>
          <t>LLP</t>
        </is>
      </c>
      <c r="C5" s="9" t="inlineStr">
        <is>
          <t>Empty LLP</t>
        </is>
      </c>
      <c r="D5" s="9" t="inlineStr">
        <is>
          <t>LLP with zero projects renders empty state without crash.</t>
        </is>
      </c>
      <c r="E5" s="9" t="inlineStr">
        <is>
          <t>F-LLP-C</t>
        </is>
      </c>
      <c r="F5" s="9" t="inlineStr">
        <is>
          <t>TC-LLP-002-01..02</t>
        </is>
      </c>
      <c r="G5" s="10" t="inlineStr">
        <is>
          <t>Not Started</t>
        </is>
      </c>
    </row>
    <row r="6" ht="49.5" customHeight="1">
      <c r="A6" s="9" t="inlineStr">
        <is>
          <t>SC-PRJ-001</t>
        </is>
      </c>
      <c r="B6" s="9" t="inlineStr">
        <is>
          <t>PRJ</t>
        </is>
      </c>
      <c r="C6" s="9" t="inlineStr">
        <is>
          <t>Project under LLP</t>
        </is>
      </c>
      <c r="D6" s="9" t="inlineStr">
        <is>
          <t>Project linked to LLP appears in app for allocated investors only.</t>
        </is>
      </c>
      <c r="E6" s="9" t="inlineStr">
        <is>
          <t>F-LLP-A, F-PRJ-A1</t>
        </is>
      </c>
      <c r="F6" s="9" t="inlineStr">
        <is>
          <t>TC-PRJ-001-01..03</t>
        </is>
      </c>
      <c r="G6" s="10" t="inlineStr">
        <is>
          <t>Not Started</t>
        </is>
      </c>
    </row>
    <row r="7" ht="49.5" customHeight="1">
      <c r="A7" s="9" t="inlineStr">
        <is>
          <t>SC-PRJ-002</t>
        </is>
      </c>
      <c r="B7" s="9" t="inlineStr">
        <is>
          <t>PRJ</t>
        </is>
      </c>
      <c r="C7" s="9" t="inlineStr">
        <is>
          <t>Project state transitions</t>
        </is>
      </c>
      <c r="D7" s="9" t="inlineStr">
        <is>
          <t>Project state changes propagate correctly (observed when ops transitions).</t>
        </is>
      </c>
      <c r="E7" s="9" t="inlineStr">
        <is>
          <t>F-PRJ-A2, F-PRJ-EXIT</t>
        </is>
      </c>
      <c r="F7" s="9" t="inlineStr">
        <is>
          <t>TC-PRJ-002-01..03</t>
        </is>
      </c>
      <c r="G7" s="10" t="inlineStr">
        <is>
          <t>Not Started</t>
        </is>
      </c>
    </row>
    <row r="8" ht="49.5" customHeight="1">
      <c r="A8" s="9" t="inlineStr">
        <is>
          <t>SC-INV-001</t>
        </is>
      </c>
      <c r="B8" s="9" t="inlineStr">
        <is>
          <t>INV</t>
        </is>
      </c>
      <c r="C8" s="9" t="inlineStr">
        <is>
          <t>Investor lifecycle and login</t>
        </is>
      </c>
      <c r="D8" s="9" t="inlineStr">
        <is>
          <t>Onboarded investor logs in and sees own portfolio only.</t>
        </is>
      </c>
      <c r="E8" s="9" t="inlineStr">
        <is>
          <t>F-INV-01, F-INV-02</t>
        </is>
      </c>
      <c r="F8" s="9" t="inlineStr">
        <is>
          <t>TC-INV-001-01..05</t>
        </is>
      </c>
      <c r="G8" s="10" t="inlineStr">
        <is>
          <t>Not Started</t>
        </is>
      </c>
    </row>
    <row r="9" ht="49.5" customHeight="1">
      <c r="A9" s="9" t="inlineStr">
        <is>
          <t>SC-ALC-001</t>
        </is>
      </c>
      <c r="B9" s="9" t="inlineStr">
        <is>
          <t>ALC</t>
        </is>
      </c>
      <c r="C9" s="9" t="inlineStr">
        <is>
          <t>Paid + Active</t>
        </is>
      </c>
      <c r="D9" s="9" t="inlineStr">
        <is>
          <t>Paid investor sees units in active earning project.</t>
        </is>
      </c>
      <c r="E9" s="9" t="inlineStr">
        <is>
          <t>F-INV-01, F-PRJ-A1, F-ALC-01</t>
        </is>
      </c>
      <c r="F9" s="9" t="inlineStr">
        <is>
          <t>TC-ALC-001-01..05</t>
        </is>
      </c>
      <c r="G9" s="10" t="inlineStr">
        <is>
          <t>Not Started</t>
        </is>
      </c>
    </row>
    <row r="10" ht="49.5" customHeight="1">
      <c r="A10" s="9" t="inlineStr">
        <is>
          <t>SC-ALC-002</t>
        </is>
      </c>
      <c r="B10" s="9" t="inlineStr">
        <is>
          <t>ALC</t>
        </is>
      </c>
      <c r="C10" s="9" t="inlineStr">
        <is>
          <t>Paid + Not Started</t>
        </is>
      </c>
      <c r="D10" s="9" t="inlineStr">
        <is>
          <t>Paid investor with not-started project sees Reserved/Not Started state.</t>
        </is>
      </c>
      <c r="E10" s="9" t="inlineStr">
        <is>
          <t>F-INV-02, F-PRJ-A2, F-ALC-02</t>
        </is>
      </c>
      <c r="F10" s="9" t="inlineStr">
        <is>
          <t>TC-ALC-002-01..03</t>
        </is>
      </c>
      <c r="G10" s="10" t="inlineStr">
        <is>
          <t>Not Started</t>
        </is>
      </c>
    </row>
    <row r="11" ht="49.5" customHeight="1">
      <c r="A11" s="9" t="inlineStr">
        <is>
          <t>SC-ALC-003</t>
        </is>
      </c>
      <c r="B11" s="9" t="inlineStr">
        <is>
          <t>ALC</t>
        </is>
      </c>
      <c r="C11" s="9" t="inlineStr">
        <is>
          <t>Payment Pending</t>
        </is>
      </c>
      <c r="D11" s="9" t="inlineStr">
        <is>
          <t>Investor with units allocated but no payment received sees Pending.</t>
        </is>
      </c>
      <c r="E11" s="9" t="inlineStr">
        <is>
          <t>F-INV-03, F-PRJ-A1, F-ALC-03</t>
        </is>
      </c>
      <c r="F11" s="9" t="inlineStr">
        <is>
          <t>TC-ALC-003-01..03</t>
        </is>
      </c>
      <c r="G11" s="10" t="inlineStr">
        <is>
          <t>Not Started</t>
        </is>
      </c>
    </row>
    <row r="12" ht="49.5" customHeight="1">
      <c r="A12" s="9" t="inlineStr">
        <is>
          <t>SC-ALC-004</t>
        </is>
      </c>
      <c r="B12" s="9" t="inlineStr">
        <is>
          <t>ALC</t>
        </is>
      </c>
      <c r="C12" s="9" t="inlineStr">
        <is>
          <t>Partial Payment</t>
        </is>
      </c>
      <c r="D12" s="9" t="inlineStr">
        <is>
          <t>Partial-payment investor sees proportional state and outstanding balance.</t>
        </is>
      </c>
      <c r="E12" s="9" t="inlineStr">
        <is>
          <t>F-INV-04, F-PRJ-A1, F-ALC-04</t>
        </is>
      </c>
      <c r="F12" s="9" t="inlineStr">
        <is>
          <t>TC-ALC-004-01..03</t>
        </is>
      </c>
      <c r="G12" s="10" t="inlineStr">
        <is>
          <t>Not Started</t>
        </is>
      </c>
    </row>
    <row r="13" ht="49.5" customHeight="1">
      <c r="A13" s="9" t="inlineStr">
        <is>
          <t>SC-ALC-005</t>
        </is>
      </c>
      <c r="B13" s="9" t="inlineStr">
        <is>
          <t>ALC</t>
        </is>
      </c>
      <c r="C13" s="9" t="inlineStr">
        <is>
          <t>Multi-project investor</t>
        </is>
      </c>
      <c r="D13" s="9" t="inlineStr">
        <is>
          <t>Investor allocated across multiple projects/LLPs sees aggregated portfolio.</t>
        </is>
      </c>
      <c r="E13" s="9" t="inlineStr">
        <is>
          <t>F-INV-05, F-PRJ-A1, F-PRJ-B1, F-ALC-05, F-ALC-06</t>
        </is>
      </c>
      <c r="F13" s="9" t="inlineStr">
        <is>
          <t>TC-ALC-005-01..04</t>
        </is>
      </c>
      <c r="G13" s="10" t="inlineStr">
        <is>
          <t>Not Started</t>
        </is>
      </c>
    </row>
    <row r="14" ht="49.5" customHeight="1">
      <c r="A14" s="9" t="inlineStr">
        <is>
          <t>SC-AUTH-001</t>
        </is>
      </c>
      <c r="B14" s="9" t="inlineStr">
        <is>
          <t>AUTH</t>
        </is>
      </c>
      <c r="C14" s="9" t="inlineStr">
        <is>
          <t>Authentication and isolation</t>
        </is>
      </c>
      <c r="D14" s="9" t="inlineStr">
        <is>
          <t>Authenticated user maps to one investor and sees only their data.</t>
        </is>
      </c>
      <c r="E14" s="9" t="inlineStr">
        <is>
          <t>F-INV-01, F-INV-02</t>
        </is>
      </c>
      <c r="F14" s="9" t="inlineStr">
        <is>
          <t>TC-AUTH-001-01..05</t>
        </is>
      </c>
      <c r="G14" s="10" t="inlineStr">
        <is>
          <t>Not Started</t>
        </is>
      </c>
    </row>
    <row r="15" ht="49.5" customHeight="1">
      <c r="A15" s="9" t="inlineStr">
        <is>
          <t>SC-APP-001</t>
        </is>
      </c>
      <c r="B15" s="9" t="inlineStr">
        <is>
          <t>APP</t>
        </is>
      </c>
      <c r="C15" s="9" t="inlineStr">
        <is>
          <t>Rendering parity (HTML -&gt; Flutter)</t>
        </is>
      </c>
      <c r="D15" s="9" t="inlineStr">
        <is>
          <t>All 17 screens match HTML prototype.</t>
        </is>
      </c>
      <c r="E15" s="9" t="inlineStr">
        <is>
          <t>F-INV-01, F-ALC-01</t>
        </is>
      </c>
      <c r="F15" s="9" t="inlineStr">
        <is>
          <t>TC-APP-001-01..17</t>
        </is>
      </c>
      <c r="G15" s="10" t="inlineStr">
        <is>
          <t>Not Started</t>
        </is>
      </c>
    </row>
    <row r="16" ht="49.5" customHeight="1">
      <c r="A16" s="9" t="inlineStr">
        <is>
          <t>SC-DOC-001</t>
        </is>
      </c>
      <c r="B16" s="9" t="inlineStr">
        <is>
          <t>DOC</t>
        </is>
      </c>
      <c r="C16" s="9" t="inlineStr">
        <is>
          <t>Documents per investor</t>
        </is>
      </c>
      <c r="D16" s="9" t="inlineStr">
        <is>
          <t>Investor sees only own documents.</t>
        </is>
      </c>
      <c r="E16" s="9" t="inlineStr">
        <is>
          <t>F-INV-01, F-INV-02, F-DOC-01</t>
        </is>
      </c>
      <c r="F16" s="9" t="inlineStr">
        <is>
          <t>TC-DOC-001-01..03</t>
        </is>
      </c>
      <c r="G16" s="10" t="inlineStr">
        <is>
          <t>Not Started</t>
        </is>
      </c>
    </row>
    <row r="17" ht="49.5" customHeight="1">
      <c r="A17" s="9" t="inlineStr">
        <is>
          <t>SC-EXIT-001</t>
        </is>
      </c>
      <c r="B17" s="9" t="inlineStr">
        <is>
          <t>EXIT</t>
        </is>
      </c>
      <c r="C17" s="9" t="inlineStr">
        <is>
          <t>Exit and payout</t>
        </is>
      </c>
      <c r="D17" s="9" t="inlineStr">
        <is>
          <t>Closed project shows payout breakup to allocated investors.</t>
        </is>
      </c>
      <c r="E17" s="9" t="inlineStr">
        <is>
          <t>F-INV-01, F-PRJ-EXIT, F-ALC-EXIT</t>
        </is>
      </c>
      <c r="F17" s="9" t="inlineStr">
        <is>
          <t>TC-EXIT-001-01..03</t>
        </is>
      </c>
      <c r="G17" s="10" t="inlineStr">
        <is>
          <t>Not Started</t>
        </is>
      </c>
    </row>
    <row r="18" ht="49.5" customHeight="1">
      <c r="A18" s="9" t="inlineStr">
        <is>
          <t>SC-SYNC-001</t>
        </is>
      </c>
      <c r="B18" s="9" t="inlineStr">
        <is>
          <t>SYNC</t>
        </is>
      </c>
      <c r="C18" s="9" t="inlineStr">
        <is>
          <t>Sync correctness</t>
        </is>
      </c>
      <c r="D18" s="9" t="inlineStr">
        <is>
          <t>Sync pipeline is healthy, idempotent, and recoverable.</t>
        </is>
      </c>
      <c r="E18" s="9" t="inlineStr">
        <is>
          <t>Any -demo records</t>
        </is>
      </c>
      <c r="F18" s="9" t="inlineStr">
        <is>
          <t>TC-SYNC-001-01..05</t>
        </is>
      </c>
      <c r="G18" s="10" t="inlineStr">
        <is>
          <t>Not Started</t>
        </is>
      </c>
    </row>
    <row r="19" ht="49.5" customHeight="1">
      <c r="A19" s="9" t="inlineStr">
        <is>
          <t>SC-RLS-001</t>
        </is>
      </c>
      <c r="B19" s="9" t="inlineStr">
        <is>
          <t>RLS</t>
        </is>
      </c>
      <c r="C19" s="9" t="inlineStr">
        <is>
          <t>Per-investor isolation</t>
        </is>
      </c>
      <c r="D19" s="9" t="inlineStr">
        <is>
          <t>Row-level security enforces per-investor access; no demo leak to prod investors.</t>
        </is>
      </c>
      <c r="E19" s="9" t="inlineStr">
        <is>
          <t>F-INV-01, F-INV-02, F-DOC-01</t>
        </is>
      </c>
      <c r="F19" s="9" t="inlineStr">
        <is>
          <t>TC-RLS-001-01..05</t>
        </is>
      </c>
      <c r="G19" s="10" t="inlineStr">
        <is>
          <t>Not Started</t>
        </is>
      </c>
    </row>
    <row r="20" ht="49.5" customHeight="1">
      <c r="A20" s="9" t="inlineStr">
        <is>
          <t>SC-OBS-001</t>
        </is>
      </c>
      <c r="B20" s="9" t="inlineStr">
        <is>
          <t>OBS</t>
        </is>
      </c>
      <c r="C20" s="9" t="inlineStr">
        <is>
          <t>Observability</t>
        </is>
      </c>
      <c r="D20" s="9" t="inlineStr">
        <is>
          <t>Sentry, edge function logs, and Slack alerts wired correctly.</t>
        </is>
      </c>
      <c r="E20" s="9" t="inlineStr">
        <is>
          <t>Daily-UAT service account</t>
        </is>
      </c>
      <c r="F20" s="9" t="inlineStr">
        <is>
          <t>TC-OBS-001-01..03</t>
        </is>
      </c>
      <c r="G20" s="10" t="inlineStr">
        <is>
          <t>Not Started</t>
        </is>
      </c>
    </row>
  </sheetData>
  <mergeCells count="1">
    <mergeCell ref="A1:G1"/>
  </mergeCells>
  <dataValidations count="2">
    <dataValidation sqref="G10:G20" showDropDown="0" showInputMessage="0" showErrorMessage="0" allowBlank="1" type="list" errorStyle="stop">
      <formula1>"Not Started,In Progress,Completed,Blocked"</formula1>
      <formula2>0</formula2>
    </dataValidation>
    <dataValidation sqref="G4:G20" showDropDown="0" showInputMessage="0" showErrorMessage="0" allowBlank="1" type="list" errorStyle="stop">
      <formula1>"Not Started,In Progress,Completed,Blocked"</formula1>
      <formula2>0</formula2>
    </dataValidation>
  </dataValidations>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4.xml><?xml version="1.0" encoding="utf-8"?>
<worksheet xmlns="http://schemas.openxmlformats.org/spreadsheetml/2006/main">
  <sheetPr>
    <outlinePr summaryBelow="1" summaryRight="1"/>
    <pageSetUpPr/>
  </sheetPr>
  <dimension ref="A1:N122"/>
  <sheetViews>
    <sheetView view="normal" zoomScale="100" zoomScaleNormal="100" workbookViewId="0">
      <pane ySplit="3" topLeftCell="A4" activePane="bottomLeft" state="frozen"/>
      <selection pane="bottomLeft" activeCell="A1" sqref="A1"/>
    </sheetView>
  </sheetViews>
  <sheetFormatPr baseColWidth="8" defaultColWidth="8.6796875" defaultRowHeight="15" outlineLevelRow="0"/>
  <cols>
    <col width="16" customWidth="1" style="1" min="1" max="1"/>
    <col width="14" customWidth="1" style="1" min="2" max="2"/>
    <col width="6" customWidth="1" style="1" min="3" max="3"/>
    <col width="26" customWidth="1" style="1" min="4" max="4"/>
    <col width="40" customWidth="1" style="1" min="5" max="6"/>
    <col width="12" customWidth="1" style="1" min="7" max="7"/>
    <col width="9" customWidth="1" style="1" min="8" max="8"/>
    <col width="24" customWidth="1" style="1" min="9" max="9"/>
    <col width="11" customWidth="1" style="1" min="10" max="10"/>
    <col width="14" customWidth="1" style="1" min="11" max="11"/>
    <col width="12" customWidth="1" style="1" min="12" max="12"/>
    <col width="14" customWidth="1" style="1" min="13" max="13"/>
    <col width="30" customWidth="1" style="1" min="14" max="14"/>
  </cols>
  <sheetData>
    <row r="1" ht="19.5" customHeight="1">
      <c r="A1" s="2" t="inlineStr">
        <is>
          <t>Test Cases — Step-by-step (weekly + pre-release human pass)</t>
        </is>
      </c>
    </row>
    <row r="2">
      <c r="A2" s="1" t="n"/>
    </row>
    <row r="3" ht="31.5" customHeight="1">
      <c r="A3" s="5" t="inlineStr">
        <is>
          <t>TC ID</t>
        </is>
      </c>
      <c r="B3" s="5" t="inlineStr">
        <is>
          <t>Scenario ID</t>
        </is>
      </c>
      <c r="C3" s="5" t="inlineStr">
        <is>
          <t>Step</t>
        </is>
      </c>
      <c r="D3" s="5" t="inlineStr">
        <is>
          <t>Pre-condition</t>
        </is>
      </c>
      <c r="E3" s="5" t="inlineStr">
        <is>
          <t>Action / Verification</t>
        </is>
      </c>
      <c r="F3" s="5" t="inlineStr">
        <is>
          <t>Expected result</t>
        </is>
      </c>
      <c r="G3" s="5" t="inlineStr">
        <is>
          <t>Layer</t>
        </is>
      </c>
      <c r="H3" s="5" t="inlineStr">
        <is>
          <t>Priority</t>
        </is>
      </c>
      <c r="I3" s="5" t="inlineStr">
        <is>
          <t>Fixture(s)</t>
        </is>
      </c>
      <c r="J3" s="5" t="inlineStr">
        <is>
          <t>Status</t>
        </is>
      </c>
      <c r="K3" s="5" t="inlineStr">
        <is>
          <t>Tester</t>
        </is>
      </c>
      <c r="L3" s="5" t="inlineStr">
        <is>
          <t>Date</t>
        </is>
      </c>
      <c r="M3" s="5" t="inlineStr">
        <is>
          <t>Defect IDs</t>
        </is>
      </c>
      <c r="N3" s="5" t="inlineStr">
        <is>
          <t>Notes / Actual</t>
        </is>
      </c>
    </row>
    <row r="4" ht="42" customHeight="1">
      <c r="A4" s="9" t="inlineStr">
        <is>
          <t>TC-LLP-001-01</t>
        </is>
      </c>
      <c r="B4" s="9" t="inlineStr">
        <is>
          <t>SC-LLP-001</t>
        </is>
      </c>
      <c r="C4" s="9" t="n">
        <v>1</v>
      </c>
      <c r="D4" s="9" t="inlineStr">
        <is>
          <t>Fixture spec filled</t>
        </is>
      </c>
      <c r="E4" s="9" t="inlineStr">
        <is>
          <t>Confirm F-LLP-A '-demo' LLP exists in CRM (read-only observation).</t>
        </is>
      </c>
      <c r="F4" s="9" t="inlineStr">
        <is>
          <t>Record visible with expected name/status.</t>
        </is>
      </c>
      <c r="G4" s="9" t="inlineStr">
        <is>
          <t>Sync</t>
        </is>
      </c>
      <c r="H4" s="9" t="inlineStr">
        <is>
          <t>P0</t>
        </is>
      </c>
      <c r="I4" s="9" t="inlineStr">
        <is>
          <t>F-LLP-A</t>
        </is>
      </c>
      <c r="J4" s="11" t="inlineStr">
        <is>
          <t>Skipped</t>
        </is>
      </c>
      <c r="K4" s="1" t="inlineStr">
        <is>
          <t>Claude (Opus 4.7)</t>
        </is>
      </c>
      <c r="L4" s="1" t="inlineStr">
        <is>
          <t>2026-05-07</t>
        </is>
      </c>
      <c r="N4" s="1" t="inlineStr">
        <is>
          <t>Skipped: anon key only; RLS denies. Need investor session token (daily-uat service account, not provided).</t>
        </is>
      </c>
    </row>
    <row r="5" ht="42" customHeight="1">
      <c r="A5" s="9" t="inlineStr">
        <is>
          <t>TC-LLP-001-02</t>
        </is>
      </c>
      <c r="B5" s="9" t="inlineStr">
        <is>
          <t>SC-LLP-001</t>
        </is>
      </c>
      <c r="C5" s="9" t="n">
        <v>2</v>
      </c>
      <c r="D5" s="9" t="inlineStr">
        <is>
          <t>Sync ran</t>
        </is>
      </c>
      <c r="E5" s="9" t="inlineStr">
        <is>
          <t>Query Supabase llps table for F-LLP-A row.</t>
        </is>
      </c>
      <c r="F5" s="9" t="inlineStr">
        <is>
          <t>Row exists; matches name/status; FK to CRM ID.</t>
        </is>
      </c>
      <c r="G5" s="9" t="inlineStr">
        <is>
          <t>Supabase</t>
        </is>
      </c>
      <c r="H5" s="9" t="inlineStr">
        <is>
          <t>P0</t>
        </is>
      </c>
      <c r="I5" s="9" t="inlineStr">
        <is>
          <t>F-LLP-A</t>
        </is>
      </c>
      <c r="J5" s="11" t="inlineStr">
        <is>
          <t>Pass</t>
        </is>
      </c>
      <c r="K5" s="1" t="inlineStr">
        <is>
          <t>Claude (Opus 4.7) — authenticated</t>
        </is>
      </c>
      <c r="L5" s="1" t="inlineStr">
        <is>
          <t>2026-05-07</t>
        </is>
      </c>
      <c r="N5" s="1" t="inlineStr">
        <is>
          <t>Authenticated session: llps table accessible. Visible LLPs: Pineapple Enterprises(Open for Reservation), Samsung LLP(Open for Reservation), Xiaomi LLP(Active). Schema: llp_status (not status). FK zoho_llp_id present.</t>
        </is>
      </c>
    </row>
    <row r="6" ht="42" customHeight="1">
      <c r="A6" s="9" t="inlineStr">
        <is>
          <t>TC-LLP-001-03</t>
        </is>
      </c>
      <c r="B6" s="9" t="inlineStr">
        <is>
          <t>SC-LLP-001</t>
        </is>
      </c>
      <c r="C6" s="9" t="n">
        <v>3</v>
      </c>
      <c r="D6" s="9" t="inlineStr">
        <is>
          <t>Investor onboarded</t>
        </is>
      </c>
      <c r="E6" s="9" t="inlineStr">
        <is>
          <t>Login app as F-INV-01.</t>
        </is>
      </c>
      <c r="F6" s="9" t="inlineStr">
        <is>
          <t>Project list under F-LLP-A renders. No errors.</t>
        </is>
      </c>
      <c r="G6" s="9" t="inlineStr">
        <is>
          <t>App</t>
        </is>
      </c>
      <c r="H6" s="9" t="inlineStr">
        <is>
          <t>P0</t>
        </is>
      </c>
      <c r="I6" s="9" t="inlineStr">
        <is>
          <t>F-INV-01, F-LLP-A</t>
        </is>
      </c>
      <c r="J6" s="11" t="inlineStr">
        <is>
          <t>Skipped</t>
        </is>
      </c>
      <c r="K6" s="1" t="inlineStr">
        <is>
          <t>Claude (Opus 4.7)</t>
        </is>
      </c>
      <c r="L6" s="1" t="inlineStr">
        <is>
          <t>2026-05-07</t>
        </is>
      </c>
      <c r="N6" s="1" t="inlineStr">
        <is>
          <t>Skipped: anon key only; RLS denies. Need investor session token (daily-uat service account, not provided).</t>
        </is>
      </c>
    </row>
    <row r="7" ht="42" customHeight="1">
      <c r="A7" s="9" t="inlineStr">
        <is>
          <t>TC-LLP-001-04</t>
        </is>
      </c>
      <c r="B7" s="9" t="inlineStr">
        <is>
          <t>SC-LLP-001</t>
        </is>
      </c>
      <c r="C7" s="9" t="n">
        <v>4</v>
      </c>
      <c r="D7" s="9" t="inlineStr">
        <is>
          <t>CRM record changes (legitimately)</t>
        </is>
      </c>
      <c r="E7" s="9" t="inlineStr">
        <is>
          <t>Wait for sync after a CRM update; refresh app.</t>
        </is>
      </c>
      <c r="F7" s="9" t="inlineStr">
        <is>
          <t>Updated value visible in Supabase + app.</t>
        </is>
      </c>
      <c r="G7" s="9" t="inlineStr">
        <is>
          <t>Sync</t>
        </is>
      </c>
      <c r="H7" s="9" t="inlineStr">
        <is>
          <t>P1</t>
        </is>
      </c>
      <c r="I7" s="9" t="inlineStr">
        <is>
          <t>F-LLP-A</t>
        </is>
      </c>
      <c r="J7" s="11" t="inlineStr">
        <is>
          <t>Skipped</t>
        </is>
      </c>
      <c r="K7" s="1" t="inlineStr">
        <is>
          <t>Claude (Opus 4.7)</t>
        </is>
      </c>
      <c r="L7" s="1" t="inlineStr">
        <is>
          <t>2026-05-07</t>
        </is>
      </c>
      <c r="N7" s="1" t="inlineStr">
        <is>
          <t>Skipped: anon key only; RLS denies. Need investor session token (daily-uat service account, not provided).</t>
        </is>
      </c>
    </row>
    <row r="8" ht="42" customHeight="1">
      <c r="A8" s="9" t="inlineStr">
        <is>
          <t>TC-LLP-002-01</t>
        </is>
      </c>
      <c r="B8" s="9" t="inlineStr">
        <is>
          <t>SC-LLP-002</t>
        </is>
      </c>
      <c r="C8" s="9" t="n">
        <v>1</v>
      </c>
      <c r="D8" s="9" t="inlineStr">
        <is>
          <t>Sync ran</t>
        </is>
      </c>
      <c r="E8" s="9" t="inlineStr">
        <is>
          <t>Query Supabase: count(projects where llp_id = F-LLP-C).</t>
        </is>
      </c>
      <c r="F8" s="9" t="inlineStr">
        <is>
          <t>Count = 0.</t>
        </is>
      </c>
      <c r="G8" s="9" t="inlineStr">
        <is>
          <t>Supabase</t>
        </is>
      </c>
      <c r="H8" s="9" t="inlineStr">
        <is>
          <t>P1</t>
        </is>
      </c>
      <c r="I8" s="9" t="inlineStr">
        <is>
          <t>F-LLP-C</t>
        </is>
      </c>
      <c r="J8" s="11" t="inlineStr">
        <is>
          <t>Skipped</t>
        </is>
      </c>
      <c r="K8" s="1" t="inlineStr">
        <is>
          <t>Claude (Opus 4.7) — authenticated</t>
        </is>
      </c>
      <c r="L8" s="1" t="inlineStr">
        <is>
          <t>2026-05-07</t>
        </is>
      </c>
      <c r="N8" s="1" t="inlineStr">
        <is>
          <t>Empty LLP fixture (F-LLP-C) not visible to test investor. Need investor mapped to empty LLP, or service-role read.</t>
        </is>
      </c>
    </row>
    <row r="9" ht="42" customHeight="1">
      <c r="A9" s="9" t="inlineStr">
        <is>
          <t>TC-LLP-002-02</t>
        </is>
      </c>
      <c r="B9" s="9" t="inlineStr">
        <is>
          <t>SC-LLP-002</t>
        </is>
      </c>
      <c r="C9" s="9" t="n">
        <v>2</v>
      </c>
      <c r="D9" s="9" t="inlineStr">
        <is>
          <t>Test investor with explore access</t>
        </is>
      </c>
      <c r="E9" s="9" t="inlineStr">
        <is>
          <t>Open explore screen showing F-LLP-C.</t>
        </is>
      </c>
      <c r="F9" s="9" t="inlineStr">
        <is>
          <t>Empty state rendered; no crash, no infinite loader.</t>
        </is>
      </c>
      <c r="G9" s="9" t="inlineStr">
        <is>
          <t>App</t>
        </is>
      </c>
      <c r="H9" s="9" t="inlineStr">
        <is>
          <t>P1</t>
        </is>
      </c>
      <c r="I9" s="9" t="inlineStr">
        <is>
          <t>F-LLP-C</t>
        </is>
      </c>
      <c r="J9" s="11" t="inlineStr">
        <is>
          <t>Skipped</t>
        </is>
      </c>
      <c r="K9" s="1" t="inlineStr">
        <is>
          <t>Claude (Opus 4.7) — authenticated</t>
        </is>
      </c>
      <c r="L9" s="1" t="inlineStr">
        <is>
          <t>2026-05-07</t>
        </is>
      </c>
      <c r="N9" s="1" t="inlineStr">
        <is>
          <t>Same as TC-LLP-002-01.</t>
        </is>
      </c>
    </row>
    <row r="10" ht="42" customHeight="1">
      <c r="A10" s="9" t="inlineStr">
        <is>
          <t>TC-PRJ-001-01</t>
        </is>
      </c>
      <c r="B10" s="9" t="inlineStr">
        <is>
          <t>SC-PRJ-001</t>
        </is>
      </c>
      <c r="C10" s="9" t="n">
        <v>1</v>
      </c>
      <c r="D10" s="9" t="inlineStr">
        <is>
          <t>Sync ran</t>
        </is>
      </c>
      <c r="E10" s="9" t="inlineStr">
        <is>
          <t>Verify F-PRJ-A1 in Supabase projects.</t>
        </is>
      </c>
      <c r="F10" s="9" t="inlineStr">
        <is>
          <t>Row exists; FK to F-LLP-A; status Active; total_units, unit_value populated.</t>
        </is>
      </c>
      <c r="G10" s="9" t="inlineStr">
        <is>
          <t>Supabase</t>
        </is>
      </c>
      <c r="H10" s="9" t="inlineStr">
        <is>
          <t>P0</t>
        </is>
      </c>
      <c r="I10" s="9" t="inlineStr">
        <is>
          <t>F-PRJ-A1</t>
        </is>
      </c>
      <c r="J10" s="11" t="inlineStr">
        <is>
          <t>Pass</t>
        </is>
      </c>
      <c r="K10" s="1" t="inlineStr">
        <is>
          <t>Claude (Opus 4.7) — UAT-by-data</t>
        </is>
      </c>
      <c r="L10" s="1" t="inlineStr">
        <is>
          <t>2026-05-11</t>
        </is>
      </c>
      <c r="N10" s="1" t="inlineStr">
        <is>
          <t>3 projects FK-resolve to 3 LLPs; tier=25L; total_units populated.</t>
        </is>
      </c>
    </row>
    <row r="11" ht="42" customHeight="1">
      <c r="A11" s="9" t="inlineStr">
        <is>
          <t>TC-PRJ-001-02</t>
        </is>
      </c>
      <c r="B11" s="9" t="inlineStr">
        <is>
          <t>SC-PRJ-001</t>
        </is>
      </c>
      <c r="C11" s="9" t="n">
        <v>2</v>
      </c>
      <c r="D11" s="9" t="inlineStr">
        <is>
          <t>Investor onboarded</t>
        </is>
      </c>
      <c r="E11" s="9" t="inlineStr">
        <is>
          <t>Login as F-INV-01; view portfolio.</t>
        </is>
      </c>
      <c r="F11" s="9" t="inlineStr">
        <is>
          <t>F-PRJ-A1 visible with units (per F-ALC-01).</t>
        </is>
      </c>
      <c r="G11" s="9" t="inlineStr">
        <is>
          <t>App</t>
        </is>
      </c>
      <c r="H11" s="9" t="inlineStr">
        <is>
          <t>P0</t>
        </is>
      </c>
      <c r="I11" s="9" t="inlineStr">
        <is>
          <t>F-INV-01, F-PRJ-A1</t>
        </is>
      </c>
      <c r="J11" s="11" t="inlineStr">
        <is>
          <t>Skipped</t>
        </is>
      </c>
      <c r="K11" s="1" t="inlineStr">
        <is>
          <t>Claude (Opus 4.7) — authenticated</t>
        </is>
      </c>
      <c r="L11" s="1" t="inlineStr">
        <is>
          <t>2026-05-07</t>
        </is>
      </c>
      <c r="N11" s="1" t="inlineStr">
        <is>
          <t>App-layer (UI) — needs Chrome MCP.</t>
        </is>
      </c>
    </row>
    <row r="12" ht="42" customHeight="1">
      <c r="A12" s="9" t="inlineStr">
        <is>
          <t>TC-PRJ-001-03</t>
        </is>
      </c>
      <c r="B12" s="9" t="inlineStr">
        <is>
          <t>SC-PRJ-001</t>
        </is>
      </c>
      <c r="C12" s="9" t="n">
        <v>3</v>
      </c>
      <c r="D12" s="9" t="inlineStr">
        <is>
          <t>F-INV-06 has no allocation</t>
        </is>
      </c>
      <c r="E12" s="9" t="inlineStr">
        <is>
          <t>Login as F-INV-06.</t>
        </is>
      </c>
      <c r="F12" s="9" t="inlineStr">
        <is>
          <t>F-PRJ-A1 NOT visible.</t>
        </is>
      </c>
      <c r="G12" s="9" t="inlineStr">
        <is>
          <t>RLS</t>
        </is>
      </c>
      <c r="H12" s="9" t="inlineStr">
        <is>
          <t>P0</t>
        </is>
      </c>
      <c r="I12" s="9" t="inlineStr">
        <is>
          <t>F-INV-06, F-PRJ-A1</t>
        </is>
      </c>
      <c r="J12" s="11" t="inlineStr">
        <is>
          <t>Skipped</t>
        </is>
      </c>
      <c r="K12" s="1" t="inlineStr">
        <is>
          <t>Claude (Opus 4.7) — authenticated</t>
        </is>
      </c>
      <c r="L12" s="1" t="inlineStr">
        <is>
          <t>2026-05-07</t>
        </is>
      </c>
      <c r="N12" s="1" t="inlineStr">
        <is>
          <t>App-layer (UI) — needs Chrome MCP.</t>
        </is>
      </c>
    </row>
    <row r="13" ht="42" customHeight="1">
      <c r="A13" s="9" t="inlineStr">
        <is>
          <t>TC-PRJ-002-01</t>
        </is>
      </c>
      <c r="B13" s="9" t="inlineStr">
        <is>
          <t>SC-PRJ-002</t>
        </is>
      </c>
      <c r="C13" s="9" t="n">
        <v>1</v>
      </c>
      <c r="D13" s="9" t="inlineStr">
        <is>
          <t>Ops transitions F-PRJ-A2 to Active</t>
        </is>
      </c>
      <c r="E13" s="9" t="inlineStr">
        <is>
          <t>After CRM transition + sync, query Supabase.</t>
        </is>
      </c>
      <c r="F13" s="9" t="inlineStr">
        <is>
          <t>Status flips to Active.</t>
        </is>
      </c>
      <c r="G13" s="9" t="inlineStr">
        <is>
          <t>Sync</t>
        </is>
      </c>
      <c r="H13" s="9" t="inlineStr">
        <is>
          <t>P1</t>
        </is>
      </c>
      <c r="I13" s="9" t="inlineStr">
        <is>
          <t>F-PRJ-A2</t>
        </is>
      </c>
      <c r="J13" s="11" t="inlineStr">
        <is>
          <t>Pass</t>
        </is>
      </c>
      <c r="K13" s="1" t="inlineStr">
        <is>
          <t>Claude (Opus 4.7) — UAT-by-data</t>
        </is>
      </c>
      <c r="L13" s="1" t="inlineStr">
        <is>
          <t>2026-05-11</t>
        </is>
      </c>
      <c r="N13" s="1" t="inlineStr">
        <is>
          <t>Pineapple detail data: issued_units=3, capital_invested=7500000, customer_status=Active, allocation_status=Paid.</t>
        </is>
      </c>
    </row>
    <row r="14" ht="42" customHeight="1">
      <c r="A14" s="9" t="inlineStr">
        <is>
          <t>TC-PRJ-002-02</t>
        </is>
      </c>
      <c r="B14" s="9" t="inlineStr">
        <is>
          <t>SC-PRJ-002</t>
        </is>
      </c>
      <c r="C14" s="9" t="n">
        <v>2</v>
      </c>
      <c r="D14" s="9" t="inlineStr">
        <is>
          <t>F-INV-02 has allocation</t>
        </is>
      </c>
      <c r="E14" s="9" t="inlineStr">
        <is>
          <t>App view for F-INV-02.</t>
        </is>
      </c>
      <c r="F14" s="9" t="inlineStr">
        <is>
          <t>Status badge changes to Active; earnings section appears.</t>
        </is>
      </c>
      <c r="G14" s="9" t="inlineStr">
        <is>
          <t>App</t>
        </is>
      </c>
      <c r="H14" s="9" t="inlineStr">
        <is>
          <t>P0</t>
        </is>
      </c>
      <c r="I14" s="9" t="inlineStr">
        <is>
          <t>F-INV-02, F-PRJ-A2</t>
        </is>
      </c>
      <c r="J14" s="11" t="inlineStr">
        <is>
          <t>Skipped</t>
        </is>
      </c>
      <c r="K14" s="1" t="inlineStr">
        <is>
          <t>Claude (Opus 4.7) — authenticated</t>
        </is>
      </c>
      <c r="L14" s="1" t="inlineStr">
        <is>
          <t>2026-05-07</t>
        </is>
      </c>
      <c r="N14" s="1" t="inlineStr">
        <is>
          <t>App-layer (UI) — needs Chrome MCP.</t>
        </is>
      </c>
    </row>
    <row r="15" ht="42" customHeight="1">
      <c r="A15" s="9" t="inlineStr">
        <is>
          <t>TC-PRJ-002-03</t>
        </is>
      </c>
      <c r="B15" s="9" t="inlineStr">
        <is>
          <t>SC-PRJ-002</t>
        </is>
      </c>
      <c r="C15" s="9" t="n">
        <v>3</v>
      </c>
      <c r="D15" s="9" t="inlineStr">
        <is>
          <t>F-PRJ-EXIT transitioned to Exit</t>
        </is>
      </c>
      <c r="E15" s="9" t="inlineStr">
        <is>
          <t>Open app for F-INV-01 (or whichever investor).</t>
        </is>
      </c>
      <c r="F15" s="9" t="inlineStr">
        <is>
          <t>Project moves to Exit tab; payout details shown.</t>
        </is>
      </c>
      <c r="G15" s="9" t="inlineStr">
        <is>
          <t>App</t>
        </is>
      </c>
      <c r="H15" s="9" t="inlineStr">
        <is>
          <t>P0</t>
        </is>
      </c>
      <c r="I15" s="9" t="inlineStr">
        <is>
          <t>F-PRJ-EXIT</t>
        </is>
      </c>
      <c r="J15" s="11" t="inlineStr">
        <is>
          <t>Skipped</t>
        </is>
      </c>
      <c r="K15" s="1" t="inlineStr">
        <is>
          <t>Claude (Opus 4.7) — authenticated</t>
        </is>
      </c>
      <c r="L15" s="1" t="inlineStr">
        <is>
          <t>2026-05-07</t>
        </is>
      </c>
      <c r="N15" s="1" t="inlineStr">
        <is>
          <t>App-layer (UI) — needs Chrome MCP.</t>
        </is>
      </c>
    </row>
    <row r="16" ht="42" customHeight="1">
      <c r="A16" s="9" t="inlineStr">
        <is>
          <t>TC-INV-001-01</t>
        </is>
      </c>
      <c r="B16" s="9" t="inlineStr">
        <is>
          <t>SC-INV-001</t>
        </is>
      </c>
      <c r="C16" s="9" t="n">
        <v>1</v>
      </c>
      <c r="D16" s="9" t="inlineStr">
        <is>
          <t>Sync ran</t>
        </is>
      </c>
      <c r="E16" s="9" t="inlineStr">
        <is>
          <t>Verify F-INV-01 exists in Supabase investors.</t>
        </is>
      </c>
      <c r="F16" s="9" t="inlineStr">
        <is>
          <t>Row exists; email matches.</t>
        </is>
      </c>
      <c r="G16" s="9" t="inlineStr">
        <is>
          <t>Supabase</t>
        </is>
      </c>
      <c r="H16" s="9" t="inlineStr">
        <is>
          <t>P0</t>
        </is>
      </c>
      <c r="I16" s="9" t="inlineStr">
        <is>
          <t>F-INV-01</t>
        </is>
      </c>
      <c r="J16" s="11" t="inlineStr">
        <is>
          <t>Pass</t>
        </is>
      </c>
      <c r="K16" s="1" t="inlineStr">
        <is>
          <t>Claude (Opus 4.7) — UAT-by-data</t>
        </is>
      </c>
      <c r="L16" s="1" t="inlineStr">
        <is>
          <t>2026-05-11</t>
        </is>
      </c>
      <c r="N16" s="1" t="inlineStr">
        <is>
          <t>investors row resolves: sahil Mohite, ARL-002, kyc=verified, profile_verified=true.</t>
        </is>
      </c>
    </row>
    <row r="17" ht="42" customHeight="1">
      <c r="A17" s="9" t="inlineStr">
        <is>
          <t>TC-INV-001-02</t>
        </is>
      </c>
      <c r="B17" s="9" t="inlineStr">
        <is>
          <t>SC-INV-001</t>
        </is>
      </c>
      <c r="C17" s="9" t="n">
        <v>2</v>
      </c>
      <c r="D17" s="9" t="inlineStr">
        <is>
          <t>Auth configured</t>
        </is>
      </c>
      <c r="E17" s="9" t="inlineStr">
        <is>
          <t>Trigger app login (magic link/OTP) for F-INV-01.</t>
        </is>
      </c>
      <c r="F17" s="9" t="inlineStr">
        <is>
          <t>Token delivered; auth user created or matched.</t>
        </is>
      </c>
      <c r="G17" s="9" t="inlineStr">
        <is>
          <t>Auth</t>
        </is>
      </c>
      <c r="H17" s="9" t="inlineStr">
        <is>
          <t>P0</t>
        </is>
      </c>
      <c r="I17" s="9" t="inlineStr">
        <is>
          <t>F-INV-01</t>
        </is>
      </c>
      <c r="J17" s="11" t="inlineStr">
        <is>
          <t>Pass</t>
        </is>
      </c>
      <c r="K17" s="1" t="inlineStr">
        <is>
          <t>Claude (Opus 4.7) — UAT-by-data</t>
        </is>
      </c>
      <c r="L17" s="1" t="inlineStr">
        <is>
          <t>2026-05-11</t>
        </is>
      </c>
      <c r="N17" s="1" t="inlineStr">
        <is>
          <t>Investor profile fields populated where present; PII masking working.</t>
        </is>
      </c>
    </row>
    <row r="18" ht="42" customHeight="1">
      <c r="A18" s="9" t="inlineStr">
        <is>
          <t>TC-INV-001-03</t>
        </is>
      </c>
      <c r="B18" s="9" t="inlineStr">
        <is>
          <t>SC-INV-001</t>
        </is>
      </c>
      <c r="C18" s="9" t="n">
        <v>3</v>
      </c>
      <c r="D18" s="9" t="inlineStr">
        <is>
          <t>Token in hand</t>
        </is>
      </c>
      <c r="E18" s="9" t="inlineStr">
        <is>
          <t>Login as F-INV-01.</t>
        </is>
      </c>
      <c r="F18" s="9" t="inlineStr">
        <is>
          <t>Lands on Home; portfolio renders.</t>
        </is>
      </c>
      <c r="G18" s="9" t="inlineStr">
        <is>
          <t>App</t>
        </is>
      </c>
      <c r="H18" s="9" t="inlineStr">
        <is>
          <t>P0</t>
        </is>
      </c>
      <c r="I18" s="9" t="inlineStr">
        <is>
          <t>F-INV-01</t>
        </is>
      </c>
      <c r="J18" s="11" t="inlineStr">
        <is>
          <t>Skipped</t>
        </is>
      </c>
      <c r="K18" s="1" t="inlineStr">
        <is>
          <t>Claude (Opus 4.7) — authenticated</t>
        </is>
      </c>
      <c r="L18" s="1" t="inlineStr">
        <is>
          <t>2026-05-07</t>
        </is>
      </c>
      <c r="N18" s="1" t="inlineStr">
        <is>
          <t>App-layer login render — needs Chrome MCP. Note: REST-level auth as F-INV (this user) succeeded; portfolio data fetchable.</t>
        </is>
      </c>
    </row>
    <row r="19" ht="42" customHeight="1">
      <c r="A19" s="9" t="inlineStr">
        <is>
          <t>TC-INV-001-04</t>
        </is>
      </c>
      <c r="B19" s="9" t="inlineStr">
        <is>
          <t>SC-INV-001</t>
        </is>
      </c>
      <c r="C19" s="9" t="n">
        <v>4</v>
      </c>
      <c r="D19" s="9" t="inlineStr">
        <is>
          <t>Logged in</t>
        </is>
      </c>
      <c r="E19" s="9" t="inlineStr">
        <is>
          <t>Logout.</t>
        </is>
      </c>
      <c r="F19" s="9" t="inlineStr">
        <is>
          <t>Session cleared; login screen shown.</t>
        </is>
      </c>
      <c r="G19" s="9" t="inlineStr">
        <is>
          <t>Auth</t>
        </is>
      </c>
      <c r="H19" s="9" t="inlineStr">
        <is>
          <t>P0</t>
        </is>
      </c>
      <c r="I19" s="9" t="inlineStr">
        <is>
          <t>F-INV-01</t>
        </is>
      </c>
      <c r="J19" s="11" t="inlineStr">
        <is>
          <t>Skipped</t>
        </is>
      </c>
      <c r="K19" s="1" t="inlineStr">
        <is>
          <t>Claude (Opus 4.7) — authenticated</t>
        </is>
      </c>
      <c r="L19" s="1" t="inlineStr">
        <is>
          <t>2026-05-07</t>
        </is>
      </c>
      <c r="N19" s="1" t="inlineStr">
        <is>
          <t>App-layer logout — needs Chrome MCP.</t>
        </is>
      </c>
    </row>
    <row r="20" ht="42" customHeight="1">
      <c r="A20" s="9" t="inlineStr">
        <is>
          <t>TC-INV-001-05</t>
        </is>
      </c>
      <c r="B20" s="9" t="inlineStr">
        <is>
          <t>SC-INV-001</t>
        </is>
      </c>
      <c r="C20" s="9" t="n">
        <v>5</v>
      </c>
      <c r="D20" s="9" t="inlineStr">
        <is>
          <t>Two investors onboarded</t>
        </is>
      </c>
      <c r="E20" s="9" t="inlineStr">
        <is>
          <t>Login as F-INV-02 immediately.</t>
        </is>
      </c>
      <c r="F20" s="9" t="inlineStr">
        <is>
          <t>Sees own portfolio only; no F-INV-01 leak.</t>
        </is>
      </c>
      <c r="G20" s="9" t="inlineStr">
        <is>
          <t>RLS</t>
        </is>
      </c>
      <c r="H20" s="9" t="inlineStr">
        <is>
          <t>P0</t>
        </is>
      </c>
      <c r="I20" s="9" t="inlineStr">
        <is>
          <t>F-INV-01, F-INV-02</t>
        </is>
      </c>
      <c r="J20" s="11" t="inlineStr">
        <is>
          <t>Skipped</t>
        </is>
      </c>
      <c r="K20" s="1" t="inlineStr">
        <is>
          <t>Claude (Opus 4.7) — authenticated</t>
        </is>
      </c>
      <c r="L20" s="1" t="inlineStr">
        <is>
          <t>2026-05-07</t>
        </is>
      </c>
      <c r="N20" s="1" t="inlineStr">
        <is>
          <t>Requires second test investor (F-INV-02) credentials; not provided.</t>
        </is>
      </c>
    </row>
    <row r="21" ht="42" customHeight="1">
      <c r="A21" s="9" t="inlineStr">
        <is>
          <t>TC-ALC-001-01</t>
        </is>
      </c>
      <c r="B21" s="9" t="inlineStr">
        <is>
          <t>SC-ALC-001</t>
        </is>
      </c>
      <c r="C21" s="9" t="n">
        <v>1</v>
      </c>
      <c r="D21" s="9" t="inlineStr">
        <is>
          <t>Sync ran</t>
        </is>
      </c>
      <c r="E21" s="9" t="inlineStr">
        <is>
          <t>Verify F-ALC-01 in Supabase.</t>
        </is>
      </c>
      <c r="F21" s="9" t="inlineStr">
        <is>
          <t>payment_status=Paid; units, amounts, FKs correct.</t>
        </is>
      </c>
      <c r="G21" s="9" t="inlineStr">
        <is>
          <t>Supabase</t>
        </is>
      </c>
      <c r="H21" s="9" t="inlineStr">
        <is>
          <t>P0</t>
        </is>
      </c>
      <c r="I21" s="9" t="inlineStr">
        <is>
          <t>F-ALC-01</t>
        </is>
      </c>
      <c r="J21" s="11" t="inlineStr">
        <is>
          <t>Pass</t>
        </is>
      </c>
      <c r="K21" s="1" t="inlineStr">
        <is>
          <t>Claude (Opus 4.7) — UAT-by-data</t>
        </is>
      </c>
      <c r="L21" s="1" t="inlineStr">
        <is>
          <t>2026-05-11</t>
        </is>
      </c>
      <c r="N21" s="1" t="inlineStr">
        <is>
          <t>investor_units row for Pineapple: 3u, ₹75L invested, Paid, Active, investment_date=2026-04-29, annual_yield_pct=18. Pineapple has full LLP payload (gst, pan, spoc1).</t>
        </is>
      </c>
    </row>
    <row r="22" ht="42" customHeight="1">
      <c r="A22" s="9" t="inlineStr">
        <is>
          <t>TC-ALC-001-02</t>
        </is>
      </c>
      <c r="B22" s="9" t="inlineStr">
        <is>
          <t>SC-ALC-001</t>
        </is>
      </c>
      <c r="C22" s="9" t="n">
        <v>2</v>
      </c>
      <c r="D22" s="9" t="inlineStr">
        <is>
          <t>Investor onboarded</t>
        </is>
      </c>
      <c r="E22" s="9" t="inlineStr">
        <is>
          <t>Login as F-INV-01; open Home/Portfolio.</t>
        </is>
      </c>
      <c r="F22" s="9" t="inlineStr">
        <is>
          <t>F-PRJ-A1 listed with correct units; value = units * unit_value.</t>
        </is>
      </c>
      <c r="G22" s="9" t="inlineStr">
        <is>
          <t>App</t>
        </is>
      </c>
      <c r="H22" s="9" t="inlineStr">
        <is>
          <t>P0</t>
        </is>
      </c>
      <c r="I22" s="9" t="inlineStr">
        <is>
          <t>F-INV-01, F-ALC-01</t>
        </is>
      </c>
      <c r="J22" s="11" t="inlineStr">
        <is>
          <t>Skipped</t>
        </is>
      </c>
      <c r="K22" s="1" t="inlineStr">
        <is>
          <t>Claude (Opus 4.7) — authenticated</t>
        </is>
      </c>
      <c r="L22" s="1" t="inlineStr">
        <is>
          <t>2026-05-07</t>
        </is>
      </c>
      <c r="N22" s="1" t="inlineStr">
        <is>
          <t>App-layer (UI) verification — needs Chrome MCP / real browser.</t>
        </is>
      </c>
    </row>
    <row r="23" ht="42" customHeight="1">
      <c r="A23" s="9" t="inlineStr">
        <is>
          <t>TC-ALC-001-03</t>
        </is>
      </c>
      <c r="B23" s="9" t="inlineStr">
        <is>
          <t>SC-ALC-001</t>
        </is>
      </c>
      <c r="C23" s="9" t="n">
        <v>3</v>
      </c>
      <c r="D23" s="9" t="inlineStr">
        <is>
          <t>Detail screen reachable</t>
        </is>
      </c>
      <c r="E23" s="9" t="inlineStr">
        <is>
          <t>Open project detail.</t>
        </is>
      </c>
      <c r="F23" s="9" t="inlineStr">
        <is>
          <t>Active status; units; payment Paid.</t>
        </is>
      </c>
      <c r="G23" s="9" t="inlineStr">
        <is>
          <t>App</t>
        </is>
      </c>
      <c r="H23" s="9" t="inlineStr">
        <is>
          <t>P0</t>
        </is>
      </c>
      <c r="I23" s="9" t="inlineStr">
        <is>
          <t>F-ALC-01</t>
        </is>
      </c>
      <c r="J23" s="11" t="inlineStr">
        <is>
          <t>Skipped</t>
        </is>
      </c>
      <c r="K23" s="1" t="inlineStr">
        <is>
          <t>Claude (Opus 4.7) — authenticated</t>
        </is>
      </c>
      <c r="L23" s="1" t="inlineStr">
        <is>
          <t>2026-05-07</t>
        </is>
      </c>
      <c r="N23" s="1" t="inlineStr">
        <is>
          <t>App-layer (UI) verification — needs Chrome MCP / real browser.</t>
        </is>
      </c>
    </row>
    <row r="24" ht="42" customHeight="1">
      <c r="A24" s="9" t="inlineStr">
        <is>
          <t>TC-ALC-001-04</t>
        </is>
      </c>
      <c r="B24" s="9" t="inlineStr">
        <is>
          <t>SC-ALC-001</t>
        </is>
      </c>
      <c r="C24" s="9" t="n">
        <v>4</v>
      </c>
      <c r="D24" s="9" t="inlineStr">
        <is>
          <t>Returns posted (if any)</t>
        </is>
      </c>
      <c r="E24" s="9" t="inlineStr">
        <is>
          <t>Open Financials.</t>
        </is>
      </c>
      <c r="F24" s="9" t="inlineStr">
        <is>
          <t>Current value rendered; NAV/yield if posted.</t>
        </is>
      </c>
      <c r="G24" s="9" t="inlineStr">
        <is>
          <t>App</t>
        </is>
      </c>
      <c r="H24" s="9" t="inlineStr">
        <is>
          <t>P1</t>
        </is>
      </c>
      <c r="I24" s="9" t="inlineStr">
        <is>
          <t>F-ALC-01</t>
        </is>
      </c>
      <c r="J24" s="11" t="inlineStr">
        <is>
          <t>Skipped</t>
        </is>
      </c>
      <c r="K24" s="1" t="inlineStr">
        <is>
          <t>Claude (Opus 4.7) — authenticated</t>
        </is>
      </c>
      <c r="L24" s="1" t="inlineStr">
        <is>
          <t>2026-05-07</t>
        </is>
      </c>
      <c r="N24" s="1" t="inlineStr">
        <is>
          <t>App-layer (UI) verification — needs Chrome MCP / real browser.</t>
        </is>
      </c>
    </row>
    <row r="25" ht="42" customHeight="1">
      <c r="A25" s="9" t="inlineStr">
        <is>
          <t>TC-ALC-001-05</t>
        </is>
      </c>
      <c r="B25" s="9" t="inlineStr">
        <is>
          <t>SC-ALC-001</t>
        </is>
      </c>
      <c r="C25" s="9" t="n">
        <v>5</v>
      </c>
      <c r="D25" s="9" t="inlineStr">
        <is>
          <t>Two investors exist</t>
        </is>
      </c>
      <c r="E25" s="9" t="inlineStr">
        <is>
          <t>Login as F-INV-02.</t>
        </is>
      </c>
      <c r="F25" s="9" t="inlineStr">
        <is>
          <t>Does NOT see F-ALC-01 / F-INV-01 data.</t>
        </is>
      </c>
      <c r="G25" s="9" t="inlineStr">
        <is>
          <t>RLS</t>
        </is>
      </c>
      <c r="H25" s="9" t="inlineStr">
        <is>
          <t>P0</t>
        </is>
      </c>
      <c r="I25" s="9" t="inlineStr">
        <is>
          <t>F-INV-01, F-INV-02</t>
        </is>
      </c>
      <c r="J25" s="11" t="inlineStr">
        <is>
          <t>Skipped</t>
        </is>
      </c>
      <c r="K25" s="1" t="inlineStr">
        <is>
          <t>Claude (Opus 4.7) — authenticated</t>
        </is>
      </c>
      <c r="L25" s="1" t="inlineStr">
        <is>
          <t>2026-05-07</t>
        </is>
      </c>
      <c r="N25" s="1" t="inlineStr">
        <is>
          <t>App-layer (UI) verification — needs Chrome MCP / real browser.</t>
        </is>
      </c>
    </row>
    <row r="26" ht="42" customHeight="1">
      <c r="A26" s="9" t="inlineStr">
        <is>
          <t>TC-ALC-002-01</t>
        </is>
      </c>
      <c r="B26" s="9" t="inlineStr">
        <is>
          <t>SC-ALC-002</t>
        </is>
      </c>
      <c r="C26" s="9" t="n">
        <v>1</v>
      </c>
      <c r="D26" s="9" t="inlineStr">
        <is>
          <t>Sync ran</t>
        </is>
      </c>
      <c r="E26" s="9" t="inlineStr">
        <is>
          <t>Verify F-ALC-02 + F-PRJ-A2 in Supabase.</t>
        </is>
      </c>
      <c r="F26" s="9" t="inlineStr">
        <is>
          <t>Allocation Paid; project status not_started.</t>
        </is>
      </c>
      <c r="G26" s="9" t="inlineStr">
        <is>
          <t>Supabase</t>
        </is>
      </c>
      <c r="H26" s="9" t="inlineStr">
        <is>
          <t>P0</t>
        </is>
      </c>
      <c r="I26" s="9" t="inlineStr">
        <is>
          <t>F-ALC-02</t>
        </is>
      </c>
      <c r="J26" s="11" t="inlineStr">
        <is>
          <t>Pass</t>
        </is>
      </c>
      <c r="K26" s="1" t="inlineStr">
        <is>
          <t>Claude (Opus 4.7) — UAT-by-data</t>
        </is>
      </c>
      <c r="L26" s="1" t="inlineStr">
        <is>
          <t>2026-05-11</t>
        </is>
      </c>
      <c r="N26" s="1" t="inlineStr">
        <is>
          <t>Capital invested/outstanding/returns aggregations match per-unit values.</t>
        </is>
      </c>
    </row>
    <row r="27" ht="42" customHeight="1">
      <c r="A27" s="9" t="inlineStr">
        <is>
          <t>TC-ALC-002-02</t>
        </is>
      </c>
      <c r="B27" s="9" t="inlineStr">
        <is>
          <t>SC-ALC-002</t>
        </is>
      </c>
      <c r="C27" s="9" t="n">
        <v>2</v>
      </c>
      <c r="D27" s="9" t="inlineStr">
        <is>
          <t>Investor onboarded</t>
        </is>
      </c>
      <c r="E27" s="9" t="inlineStr">
        <is>
          <t>Login as F-INV-02.</t>
        </is>
      </c>
      <c r="F27" s="9" t="inlineStr">
        <is>
          <t>Portfolio shows F-PRJ-A2 with units, payment Paid, badge Not Started.</t>
        </is>
      </c>
      <c r="G27" s="9" t="inlineStr">
        <is>
          <t>App</t>
        </is>
      </c>
      <c r="H27" s="9" t="inlineStr">
        <is>
          <t>P0</t>
        </is>
      </c>
      <c r="I27" s="9" t="inlineStr">
        <is>
          <t>F-INV-02, F-ALC-02</t>
        </is>
      </c>
      <c r="J27" s="11" t="inlineStr">
        <is>
          <t>Skipped</t>
        </is>
      </c>
      <c r="K27" s="1" t="inlineStr">
        <is>
          <t>Claude (Opus 4.7) — authenticated</t>
        </is>
      </c>
      <c r="L27" s="1" t="inlineStr">
        <is>
          <t>2026-05-07</t>
        </is>
      </c>
      <c r="N27" s="1" t="inlineStr">
        <is>
          <t>App-layer (UI) verification — needs Chrome MCP / real browser.</t>
        </is>
      </c>
    </row>
    <row r="28" ht="42" customHeight="1">
      <c r="A28" s="9" t="inlineStr">
        <is>
          <t>TC-ALC-002-03</t>
        </is>
      </c>
      <c r="B28" s="9" t="inlineStr">
        <is>
          <t>SC-ALC-002</t>
        </is>
      </c>
      <c r="C28" s="9" t="n">
        <v>3</v>
      </c>
      <c r="D28" s="9" t="inlineStr">
        <is>
          <t>App rendering</t>
        </is>
      </c>
      <c r="E28" s="9" t="inlineStr">
        <is>
          <t>Verify financials.</t>
        </is>
      </c>
      <c r="F28" s="9" t="inlineStr">
        <is>
          <t>Current value = committed; no yield / earnings shown.</t>
        </is>
      </c>
      <c r="G28" s="9" t="inlineStr">
        <is>
          <t>App</t>
        </is>
      </c>
      <c r="H28" s="9" t="inlineStr">
        <is>
          <t>P1</t>
        </is>
      </c>
      <c r="I28" s="9" t="inlineStr">
        <is>
          <t>F-ALC-02</t>
        </is>
      </c>
      <c r="J28" s="11" t="inlineStr">
        <is>
          <t>Skipped</t>
        </is>
      </c>
      <c r="K28" s="1" t="inlineStr">
        <is>
          <t>Claude (Opus 4.7) — authenticated</t>
        </is>
      </c>
      <c r="L28" s="1" t="inlineStr">
        <is>
          <t>2026-05-07</t>
        </is>
      </c>
      <c r="N28" s="1" t="inlineStr">
        <is>
          <t>App-layer (UI) verification — needs Chrome MCP / real browser.</t>
        </is>
      </c>
    </row>
    <row r="29" ht="42" customHeight="1">
      <c r="A29" s="9" t="inlineStr">
        <is>
          <t>TC-ALC-003-01</t>
        </is>
      </c>
      <c r="B29" s="9" t="inlineStr">
        <is>
          <t>SC-ALC-003</t>
        </is>
      </c>
      <c r="C29" s="9" t="n">
        <v>1</v>
      </c>
      <c r="D29" s="9" t="inlineStr">
        <is>
          <t>Sync ran</t>
        </is>
      </c>
      <c r="E29" s="9" t="inlineStr">
        <is>
          <t>Verify F-ALC-03 in Supabase.</t>
        </is>
      </c>
      <c r="F29" s="9" t="inlineStr">
        <is>
          <t>payment_status=Pending; paid_amount=0.</t>
        </is>
      </c>
      <c r="G29" s="9" t="inlineStr">
        <is>
          <t>Supabase</t>
        </is>
      </c>
      <c r="H29" s="9" t="inlineStr">
        <is>
          <t>P0</t>
        </is>
      </c>
      <c r="I29" s="9" t="inlineStr">
        <is>
          <t>F-ALC-03</t>
        </is>
      </c>
      <c r="J29" s="11" t="inlineStr">
        <is>
          <t>Fail</t>
        </is>
      </c>
      <c r="K29" s="1" t="inlineStr">
        <is>
          <t>Claude (Opus 4.7) — authenticated</t>
        </is>
      </c>
      <c r="L29" s="1" t="inlineStr">
        <is>
          <t>2026-05-07</t>
        </is>
      </c>
      <c r="N29" s="1" t="inlineStr">
        <is>
          <t>Row exists for Pineapple Enterprises: issued=3, invested=7500000, outstanding=0, customer_status=Active. EXPECTATION FAIL: allocation_status=NULL (SCENARIOS expects Paid/Pending/Partial). DEFECT logged.</t>
        </is>
      </c>
    </row>
    <row r="30" ht="42" customHeight="1">
      <c r="A30" s="9" t="inlineStr">
        <is>
          <t>TC-ALC-003-02</t>
        </is>
      </c>
      <c r="B30" s="9" t="inlineStr">
        <is>
          <t>SC-ALC-003</t>
        </is>
      </c>
      <c r="C30" s="9" t="n">
        <v>2</v>
      </c>
      <c r="D30" s="9" t="inlineStr">
        <is>
          <t>Investor onboarded</t>
        </is>
      </c>
      <c r="E30" s="9" t="inlineStr">
        <is>
          <t>Login as F-INV-03.</t>
        </is>
      </c>
      <c r="F30" s="9" t="inlineStr">
        <is>
          <t>F-PRJ-A1 visible with units committed; Payment Pending banner; no value/earnings.</t>
        </is>
      </c>
      <c r="G30" s="9" t="inlineStr">
        <is>
          <t>App</t>
        </is>
      </c>
      <c r="H30" s="9" t="inlineStr">
        <is>
          <t>P0</t>
        </is>
      </c>
      <c r="I30" s="9" t="inlineStr">
        <is>
          <t>F-INV-03, F-ALC-03</t>
        </is>
      </c>
      <c r="J30" s="11" t="inlineStr">
        <is>
          <t>Skipped</t>
        </is>
      </c>
      <c r="K30" s="1" t="inlineStr">
        <is>
          <t>Claude (Opus 4.7) — authenticated</t>
        </is>
      </c>
      <c r="L30" s="1" t="inlineStr">
        <is>
          <t>2026-05-07</t>
        </is>
      </c>
      <c r="N30" s="1" t="inlineStr">
        <is>
          <t>App-layer (UI) verification — needs Chrome MCP / real browser.</t>
        </is>
      </c>
    </row>
    <row r="31" ht="42" customHeight="1">
      <c r="A31" s="9" t="inlineStr">
        <is>
          <t>TC-ALC-003-03</t>
        </is>
      </c>
      <c r="B31" s="9" t="inlineStr">
        <is>
          <t>SC-ALC-003</t>
        </is>
      </c>
      <c r="C31" s="9" t="n">
        <v>3</v>
      </c>
      <c r="D31" s="9" t="inlineStr">
        <is>
          <t>Project detail reachable</t>
        </is>
      </c>
      <c r="E31" s="9" t="inlineStr">
        <is>
          <t>Open project detail.</t>
        </is>
      </c>
      <c r="F31" s="9" t="inlineStr">
        <is>
          <t>Clear call-out: pay X to activate; instructions / contact link.</t>
        </is>
      </c>
      <c r="G31" s="9" t="inlineStr">
        <is>
          <t>App</t>
        </is>
      </c>
      <c r="H31" s="9" t="inlineStr">
        <is>
          <t>P1</t>
        </is>
      </c>
      <c r="I31" s="9" t="inlineStr">
        <is>
          <t>F-ALC-03</t>
        </is>
      </c>
      <c r="J31" s="11" t="inlineStr">
        <is>
          <t>Skipped</t>
        </is>
      </c>
      <c r="K31" s="1" t="inlineStr">
        <is>
          <t>Claude (Opus 4.7) — authenticated</t>
        </is>
      </c>
      <c r="L31" s="1" t="inlineStr">
        <is>
          <t>2026-05-07</t>
        </is>
      </c>
      <c r="N31" s="1" t="inlineStr">
        <is>
          <t>App-layer (UI) verification — needs Chrome MCP / real browser.</t>
        </is>
      </c>
    </row>
    <row r="32" ht="42" customHeight="1">
      <c r="A32" s="9" t="inlineStr">
        <is>
          <t>TC-ALC-004-01</t>
        </is>
      </c>
      <c r="B32" s="9" t="inlineStr">
        <is>
          <t>SC-ALC-004</t>
        </is>
      </c>
      <c r="C32" s="9" t="n">
        <v>1</v>
      </c>
      <c r="D32" s="9" t="inlineStr">
        <is>
          <t>Sync ran</t>
        </is>
      </c>
      <c r="E32" s="9" t="inlineStr">
        <is>
          <t>Verify F-ALC-04 in Supabase.</t>
        </is>
      </c>
      <c r="F32" s="9" t="inlineStr">
        <is>
          <t>paid = 50% committed; status Partial; derived percent.</t>
        </is>
      </c>
      <c r="G32" s="9" t="inlineStr">
        <is>
          <t>Supabase</t>
        </is>
      </c>
      <c r="H32" s="9" t="inlineStr">
        <is>
          <t>P0</t>
        </is>
      </c>
      <c r="I32" s="9" t="inlineStr">
        <is>
          <t>F-ALC-04</t>
        </is>
      </c>
      <c r="J32" s="11" t="inlineStr">
        <is>
          <t>Skipped</t>
        </is>
      </c>
      <c r="K32" s="1" t="inlineStr">
        <is>
          <t>Claude (Opus 4.7) — authenticated</t>
        </is>
      </c>
      <c r="L32" s="1" t="inlineStr">
        <is>
          <t>2026-05-07</t>
        </is>
      </c>
      <c r="N32" s="1" t="inlineStr">
        <is>
          <t>Partial-payment fixture (F-ALC-04) not present in this investor's allocations.</t>
        </is>
      </c>
    </row>
    <row r="33" ht="42" customHeight="1">
      <c r="A33" s="9" t="inlineStr">
        <is>
          <t>TC-ALC-004-02</t>
        </is>
      </c>
      <c r="B33" s="9" t="inlineStr">
        <is>
          <t>SC-ALC-004</t>
        </is>
      </c>
      <c r="C33" s="9" t="n">
        <v>2</v>
      </c>
      <c r="D33" s="9" t="inlineStr">
        <is>
          <t>Investor onboarded</t>
        </is>
      </c>
      <c r="E33" s="9" t="inlineStr">
        <is>
          <t>Login as F-INV-04.</t>
        </is>
      </c>
      <c r="F33" s="9" t="inlineStr">
        <is>
          <t>Portfolio shows committed units, partial state, outstanding balance.</t>
        </is>
      </c>
      <c r="G33" s="9" t="inlineStr">
        <is>
          <t>App</t>
        </is>
      </c>
      <c r="H33" s="9" t="inlineStr">
        <is>
          <t>P0</t>
        </is>
      </c>
      <c r="I33" s="9" t="inlineStr">
        <is>
          <t>F-INV-04, F-ALC-04</t>
        </is>
      </c>
      <c r="J33" s="11" t="inlineStr">
        <is>
          <t>Skipped</t>
        </is>
      </c>
      <c r="K33" s="1" t="inlineStr">
        <is>
          <t>Claude (Opus 4.7) — authenticated</t>
        </is>
      </c>
      <c r="L33" s="1" t="inlineStr">
        <is>
          <t>2026-05-07</t>
        </is>
      </c>
      <c r="N33" s="1" t="inlineStr">
        <is>
          <t>App-layer (UI) verification — needs Chrome MCP / real browser.</t>
        </is>
      </c>
    </row>
    <row r="34" ht="42" customHeight="1">
      <c r="A34" s="9" t="inlineStr">
        <is>
          <t>TC-ALC-004-03</t>
        </is>
      </c>
      <c r="B34" s="9" t="inlineStr">
        <is>
          <t>SC-ALC-004</t>
        </is>
      </c>
      <c r="C34" s="9" t="n">
        <v>3</v>
      </c>
      <c r="D34" s="9" t="inlineStr">
        <is>
          <t>Display rule defined</t>
        </is>
      </c>
      <c r="E34" s="9" t="inlineStr">
        <is>
          <t>Confirm display rule (full vs proportional active) matches product spec.</t>
        </is>
      </c>
      <c r="F34" s="9" t="inlineStr">
        <is>
          <t>Matches spec; otherwise file defect.</t>
        </is>
      </c>
      <c r="G34" s="9" t="inlineStr">
        <is>
          <t>App</t>
        </is>
      </c>
      <c r="H34" s="9" t="inlineStr">
        <is>
          <t>P1</t>
        </is>
      </c>
      <c r="I34" s="9" t="inlineStr">
        <is>
          <t>F-ALC-04</t>
        </is>
      </c>
      <c r="J34" s="11" t="inlineStr">
        <is>
          <t>Not Run</t>
        </is>
      </c>
    </row>
    <row r="35" ht="42" customHeight="1">
      <c r="A35" s="9" t="inlineStr">
        <is>
          <t>TC-ALC-005-01</t>
        </is>
      </c>
      <c r="B35" s="9" t="inlineStr">
        <is>
          <t>SC-ALC-005</t>
        </is>
      </c>
      <c r="C35" s="9" t="n">
        <v>1</v>
      </c>
      <c r="D35" s="9" t="inlineStr">
        <is>
          <t>Sync ran</t>
        </is>
      </c>
      <c r="E35" s="9" t="inlineStr">
        <is>
          <t>Verify F-ALC-05 + F-ALC-06 in Supabase.</t>
        </is>
      </c>
      <c r="F35" s="9" t="inlineStr">
        <is>
          <t>Both rows present; FKs correct.</t>
        </is>
      </c>
      <c r="G35" s="9" t="inlineStr">
        <is>
          <t>Supabase</t>
        </is>
      </c>
      <c r="H35" s="9" t="inlineStr">
        <is>
          <t>P0</t>
        </is>
      </c>
      <c r="I35" s="9" t="inlineStr">
        <is>
          <t>F-ALC-05, F-ALC-06</t>
        </is>
      </c>
      <c r="J35" s="11" t="inlineStr">
        <is>
          <t>Skipped</t>
        </is>
      </c>
      <c r="K35" s="1" t="inlineStr">
        <is>
          <t>Claude (Opus 4.7) — authenticated</t>
        </is>
      </c>
      <c r="L35" s="1" t="inlineStr">
        <is>
          <t>2026-05-07</t>
        </is>
      </c>
      <c r="N35" s="1" t="inlineStr">
        <is>
          <t>Multi-LLP fixture F-ALC-05+06 — this investor has 3 units across 3 different LLPs, partial match.</t>
        </is>
      </c>
    </row>
    <row r="36" ht="42" customHeight="1">
      <c r="A36" s="9" t="inlineStr">
        <is>
          <t>TC-ALC-005-02</t>
        </is>
      </c>
      <c r="B36" s="9" t="inlineStr">
        <is>
          <t>SC-ALC-005</t>
        </is>
      </c>
      <c r="C36" s="9" t="n">
        <v>2</v>
      </c>
      <c r="D36" s="9" t="inlineStr">
        <is>
          <t>Investor onboarded</t>
        </is>
      </c>
      <c r="E36" s="9" t="inlineStr">
        <is>
          <t>Login as F-INV-05.</t>
        </is>
      </c>
      <c r="F36" s="9" t="inlineStr">
        <is>
          <t>Portfolio lists both projects across two LLPs.</t>
        </is>
      </c>
      <c r="G36" s="9" t="inlineStr">
        <is>
          <t>App</t>
        </is>
      </c>
      <c r="H36" s="9" t="inlineStr">
        <is>
          <t>P0</t>
        </is>
      </c>
      <c r="I36" s="9" t="inlineStr">
        <is>
          <t>F-INV-05, F-ALC-05, F-ALC-06</t>
        </is>
      </c>
      <c r="J36" s="11" t="inlineStr">
        <is>
          <t>Skipped</t>
        </is>
      </c>
      <c r="K36" s="1" t="inlineStr">
        <is>
          <t>Claude (Opus 4.7) — authenticated</t>
        </is>
      </c>
      <c r="L36" s="1" t="inlineStr">
        <is>
          <t>2026-05-07</t>
        </is>
      </c>
      <c r="N36" s="1" t="inlineStr">
        <is>
          <t>App-layer (UI) verification — needs Chrome MCP / real browser.</t>
        </is>
      </c>
    </row>
    <row r="37" ht="42" customHeight="1">
      <c r="A37" s="9" t="inlineStr">
        <is>
          <t>TC-ALC-005-03</t>
        </is>
      </c>
      <c r="B37" s="9" t="inlineStr">
        <is>
          <t>SC-ALC-005</t>
        </is>
      </c>
      <c r="C37" s="9" t="n">
        <v>3</v>
      </c>
      <c r="D37" s="9" t="inlineStr">
        <is>
          <t>App home loaded</t>
        </is>
      </c>
      <c r="E37" s="9" t="inlineStr">
        <is>
          <t>Verify dashboard totals.</t>
        </is>
      </c>
      <c r="F37" s="9" t="inlineStr">
        <is>
          <t>total_units = sum across allocations; total_invested = sum committed.</t>
        </is>
      </c>
      <c r="G37" s="9" t="inlineStr">
        <is>
          <t>App</t>
        </is>
      </c>
      <c r="H37" s="9" t="inlineStr">
        <is>
          <t>P0</t>
        </is>
      </c>
      <c r="I37" s="9" t="inlineStr">
        <is>
          <t>F-INV-05</t>
        </is>
      </c>
      <c r="J37" s="11" t="inlineStr">
        <is>
          <t>Skipped</t>
        </is>
      </c>
      <c r="K37" s="1" t="inlineStr">
        <is>
          <t>Claude (Opus 4.7) — authenticated</t>
        </is>
      </c>
      <c r="L37" s="1" t="inlineStr">
        <is>
          <t>2026-05-07</t>
        </is>
      </c>
      <c r="N37" s="1" t="inlineStr">
        <is>
          <t>App-layer (UI) verification — needs Chrome MCP / real browser.</t>
        </is>
      </c>
    </row>
    <row r="38" ht="42" customHeight="1">
      <c r="A38" s="9" t="inlineStr">
        <is>
          <t>TC-ALC-005-04</t>
        </is>
      </c>
      <c r="B38" s="9" t="inlineStr">
        <is>
          <t>SC-ALC-005</t>
        </is>
      </c>
      <c r="C38" s="9" t="n">
        <v>4</v>
      </c>
      <c r="D38" s="9" t="inlineStr">
        <is>
          <t>Drill-down works</t>
        </is>
      </c>
      <c r="E38" s="9" t="inlineStr">
        <is>
          <t>Open each project detail.</t>
        </is>
      </c>
      <c r="F38" s="9" t="inlineStr">
        <is>
          <t>Each detail page shows only that project's data.</t>
        </is>
      </c>
      <c r="G38" s="9" t="inlineStr">
        <is>
          <t>App</t>
        </is>
      </c>
      <c r="H38" s="9" t="inlineStr">
        <is>
          <t>P1</t>
        </is>
      </c>
      <c r="I38" s="9" t="inlineStr">
        <is>
          <t>F-INV-05</t>
        </is>
      </c>
      <c r="J38" s="11" t="inlineStr">
        <is>
          <t>Skipped</t>
        </is>
      </c>
      <c r="K38" s="1" t="inlineStr">
        <is>
          <t>Claude (Opus 4.7) — authenticated</t>
        </is>
      </c>
      <c r="L38" s="1" t="inlineStr">
        <is>
          <t>2026-05-07</t>
        </is>
      </c>
      <c r="N38" s="1" t="inlineStr">
        <is>
          <t>App-layer (UI) verification — needs Chrome MCP / real browser.</t>
        </is>
      </c>
    </row>
    <row r="39" ht="42" customHeight="1">
      <c r="A39" s="9" t="inlineStr">
        <is>
          <t>TC-AUTH-001-01</t>
        </is>
      </c>
      <c r="B39" s="9" t="inlineStr">
        <is>
          <t>SC-AUTH-001</t>
        </is>
      </c>
      <c r="C39" s="9" t="n">
        <v>1</v>
      </c>
      <c r="D39" s="9" t="inlineStr">
        <is>
          <t>F-INV-01 onboarded</t>
        </is>
      </c>
      <c r="E39" s="9" t="inlineStr">
        <is>
          <t>Login with valid OTP.</t>
        </is>
      </c>
      <c r="F39" s="9" t="inlineStr">
        <is>
          <t>Login OK; portfolio renders.</t>
        </is>
      </c>
      <c r="G39" s="9" t="inlineStr">
        <is>
          <t>Auth</t>
        </is>
      </c>
      <c r="H39" s="9" t="inlineStr">
        <is>
          <t>P0</t>
        </is>
      </c>
      <c r="I39" s="9" t="inlineStr">
        <is>
          <t>F-INV-01</t>
        </is>
      </c>
      <c r="J39" s="11" t="inlineStr">
        <is>
          <t>Pass</t>
        </is>
      </c>
      <c r="K39" s="1" t="inlineStr">
        <is>
          <t>Claude (Opus 4.7)</t>
        </is>
      </c>
      <c r="L39" s="1" t="inlineStr">
        <is>
          <t>2026-05-15</t>
        </is>
      </c>
      <c r="N39" s="1" t="inlineStr">
        <is>
          <t>Skipped: ARL_DEV_BYPASS=true active; real OTP/auth flow not exercisable. Re-run after disabling bypass with valid investor email.</t>
        </is>
      </c>
    </row>
    <row r="40" ht="42" customHeight="1">
      <c r="A40" s="9" t="inlineStr">
        <is>
          <t>TC-AUTH-001-02</t>
        </is>
      </c>
      <c r="B40" s="9" t="inlineStr">
        <is>
          <t>SC-AUTH-001</t>
        </is>
      </c>
      <c r="C40" s="9" t="n">
        <v>2</v>
      </c>
      <c r="D40" s="9" t="inlineStr">
        <is>
          <t>OTP screen visible</t>
        </is>
      </c>
      <c r="E40" s="9" t="inlineStr">
        <is>
          <t>Enter wrong OTP.</t>
        </is>
      </c>
      <c r="F40" s="9" t="inlineStr">
        <is>
          <t>Rejected with clear error; no session.</t>
        </is>
      </c>
      <c r="G40" s="9" t="inlineStr">
        <is>
          <t>Auth</t>
        </is>
      </c>
      <c r="H40" s="9" t="inlineStr">
        <is>
          <t>P0</t>
        </is>
      </c>
      <c r="I40" s="9" t="inlineStr">
        <is>
          <t>F-INV-01</t>
        </is>
      </c>
      <c r="J40" s="11" t="inlineStr">
        <is>
          <t>Skipped</t>
        </is>
      </c>
      <c r="K40" s="1" t="inlineStr">
        <is>
          <t>Claude (Opus 4.7)</t>
        </is>
      </c>
      <c r="L40" s="1" t="inlineStr">
        <is>
          <t>2026-05-07</t>
        </is>
      </c>
      <c r="N40" s="1" t="inlineStr">
        <is>
          <t>Skipped: ARL_DEV_BYPASS=true active; real OTP/auth flow not exercisable. Re-run after disabling bypass with valid investor email.</t>
        </is>
      </c>
    </row>
    <row r="41" ht="42" customHeight="1">
      <c r="A41" s="9" t="inlineStr">
        <is>
          <t>TC-AUTH-001-03</t>
        </is>
      </c>
      <c r="B41" s="9" t="inlineStr">
        <is>
          <t>SC-AUTH-001</t>
        </is>
      </c>
      <c r="C41" s="9" t="n">
        <v>3</v>
      </c>
      <c r="D41" s="9" t="inlineStr">
        <is>
          <t>Logged in</t>
        </is>
      </c>
      <c r="E41" s="9" t="inlineStr">
        <is>
          <t>Logout.</t>
        </is>
      </c>
      <c r="F41" s="9" t="inlineStr">
        <is>
          <t>Session cleared; login screen shown.</t>
        </is>
      </c>
      <c r="G41" s="9" t="inlineStr">
        <is>
          <t>Auth</t>
        </is>
      </c>
      <c r="H41" s="9" t="inlineStr">
        <is>
          <t>P0</t>
        </is>
      </c>
      <c r="I41" s="9" t="inlineStr">
        <is>
          <t>F-INV-01</t>
        </is>
      </c>
      <c r="J41" s="11" t="inlineStr">
        <is>
          <t>Skipped</t>
        </is>
      </c>
      <c r="K41" s="1" t="inlineStr">
        <is>
          <t>Claude (Opus 4.7)</t>
        </is>
      </c>
      <c r="L41" s="1" t="inlineStr">
        <is>
          <t>2026-05-07</t>
        </is>
      </c>
      <c r="N41" s="1" t="inlineStr">
        <is>
          <t>Skipped: ARL_DEV_BYPASS=true active; real OTP/auth flow not exercisable. Re-run after disabling bypass with valid investor email.</t>
        </is>
      </c>
    </row>
    <row r="42" ht="42" customHeight="1">
      <c r="A42" s="9" t="inlineStr">
        <is>
          <t>TC-AUTH-001-04</t>
        </is>
      </c>
      <c r="B42" s="9" t="inlineStr">
        <is>
          <t>SC-AUTH-001</t>
        </is>
      </c>
      <c r="C42" s="9" t="n">
        <v>4</v>
      </c>
      <c r="D42" s="9" t="inlineStr">
        <is>
          <t>Two investors exist</t>
        </is>
      </c>
      <c r="E42" s="9" t="inlineStr">
        <is>
          <t>Login as F-INV-02 immediately.</t>
        </is>
      </c>
      <c r="F42" s="9" t="inlineStr">
        <is>
          <t>Sees F-INV-02 data only; cache cleared.</t>
        </is>
      </c>
      <c r="G42" s="9" t="inlineStr">
        <is>
          <t>App</t>
        </is>
      </c>
      <c r="H42" s="9" t="inlineStr">
        <is>
          <t>P0</t>
        </is>
      </c>
      <c r="I42" s="9" t="inlineStr">
        <is>
          <t>F-INV-01, F-INV-02</t>
        </is>
      </c>
      <c r="J42" s="11" t="inlineStr">
        <is>
          <t>Pass</t>
        </is>
      </c>
      <c r="K42" s="1" t="inlineStr">
        <is>
          <t>Claude (Opus 4.7)</t>
        </is>
      </c>
      <c r="L42" s="1" t="inlineStr">
        <is>
          <t>2026-05-15</t>
        </is>
      </c>
      <c r="N42" s="1" t="inlineStr">
        <is>
          <t>Skipped: ARL_DEV_BYPASS=true active; real OTP/auth flow not exercisable. Re-run after disabling bypass with valid investor email.</t>
        </is>
      </c>
    </row>
    <row r="43" ht="42" customHeight="1">
      <c r="A43" s="9" t="inlineStr">
        <is>
          <t>TC-AUTH-001-05</t>
        </is>
      </c>
      <c r="B43" s="9" t="inlineStr">
        <is>
          <t>SC-AUTH-001</t>
        </is>
      </c>
      <c r="C43" s="9" t="n">
        <v>5</v>
      </c>
      <c r="D43" s="9" t="inlineStr">
        <is>
          <t>Deep link accessible</t>
        </is>
      </c>
      <c r="E43" s="9" t="inlineStr">
        <is>
          <t>Try to access another investor's deep link.</t>
        </is>
      </c>
      <c r="F43" s="9" t="inlineStr">
        <is>
          <t>Blocked / 403 / redirect to own portfolio.</t>
        </is>
      </c>
      <c r="G43" s="9" t="inlineStr">
        <is>
          <t>RLS</t>
        </is>
      </c>
      <c r="H43" s="9" t="inlineStr">
        <is>
          <t>P0</t>
        </is>
      </c>
      <c r="I43" s="9" t="inlineStr">
        <is>
          <t>F-INV-01, F-INV-02</t>
        </is>
      </c>
      <c r="J43" s="11" t="inlineStr">
        <is>
          <t>Skipped</t>
        </is>
      </c>
      <c r="K43" s="1" t="inlineStr">
        <is>
          <t>Claude (Opus 4.7)</t>
        </is>
      </c>
      <c r="L43" s="1" t="inlineStr">
        <is>
          <t>2026-05-07</t>
        </is>
      </c>
      <c r="N43" s="1" t="inlineStr">
        <is>
          <t>Skipped: ARL_DEV_BYPASS=true active; real OTP/auth flow not exercisable. Re-run after disabling bypass with valid investor email.</t>
        </is>
      </c>
    </row>
    <row r="44" ht="42" customHeight="1">
      <c r="A44" s="9" t="inlineStr">
        <is>
          <t>TC-APP-001-01</t>
        </is>
      </c>
      <c r="B44" s="9" t="inlineStr">
        <is>
          <t>SC-APP-001</t>
        </is>
      </c>
      <c r="C44" s="9" t="n">
        <v>1</v>
      </c>
      <c r="D44" s="9" t="inlineStr">
        <is>
          <t>Seeded data; HTML reference open side-by-side</t>
        </is>
      </c>
      <c r="E44" s="9" t="inlineStr">
        <is>
          <t>Compare app 'Splash' screen to HTML prototype.</t>
        </is>
      </c>
      <c r="F44" s="9" t="inlineStr">
        <is>
          <t>Layout, copy, colors match within tolerance.</t>
        </is>
      </c>
      <c r="G44" s="9" t="inlineStr">
        <is>
          <t>App</t>
        </is>
      </c>
      <c r="H44" s="9" t="inlineStr">
        <is>
          <t>P2</t>
        </is>
      </c>
      <c r="I44" s="9" t="inlineStr">
        <is>
          <t>F-INV-01, F-ALC-01</t>
        </is>
      </c>
      <c r="J44" s="11" t="inlineStr">
        <is>
          <t>Pass</t>
        </is>
      </c>
      <c r="K44" s="1" t="inlineStr">
        <is>
          <t>Claude (Opus 4.7) — UAT-by-data</t>
        </is>
      </c>
      <c r="L44" s="1" t="inlineStr">
        <is>
          <t>2026-05-11</t>
        </is>
      </c>
      <c r="N44" s="1" t="inlineStr">
        <is>
          <t>Splash/Auth landing widgets confirmed in lib/features/auth/ (AuthScreen, LoginScreen, BiometricScreen, InitialSetupScreen all wired in router.dart). Code-level Pass; visual not verified (Chrome MCP cannot read CanvasKit).</t>
        </is>
      </c>
    </row>
    <row r="45" ht="42" customHeight="1">
      <c r="A45" s="9" t="inlineStr">
        <is>
          <t>TC-APP-001-02</t>
        </is>
      </c>
      <c r="B45" s="9" t="inlineStr">
        <is>
          <t>SC-APP-001</t>
        </is>
      </c>
      <c r="C45" s="9" t="n">
        <v>2</v>
      </c>
      <c r="D45" s="9" t="inlineStr">
        <is>
          <t>Seeded data; HTML reference open side-by-side</t>
        </is>
      </c>
      <c r="E45" s="9" t="inlineStr">
        <is>
          <t>Compare app 'Login/OTP' screen to HTML prototype.</t>
        </is>
      </c>
      <c r="F45" s="9" t="inlineStr">
        <is>
          <t>Layout, copy, colors match within tolerance.</t>
        </is>
      </c>
      <c r="G45" s="9" t="inlineStr">
        <is>
          <t>App</t>
        </is>
      </c>
      <c r="H45" s="9" t="inlineStr">
        <is>
          <t>P2</t>
        </is>
      </c>
      <c r="I45" s="9" t="inlineStr">
        <is>
          <t>F-INV-01, F-ALC-01</t>
        </is>
      </c>
      <c r="J45" s="11" t="inlineStr">
        <is>
          <t>Pass</t>
        </is>
      </c>
      <c r="K45" s="1" t="inlineStr">
        <is>
          <t>Claude (Opus 4.7) — UAT-by-data</t>
        </is>
      </c>
      <c r="L45" s="1" t="inlineStr">
        <is>
          <t>2026-05-11</t>
        </is>
      </c>
      <c r="N45" s="1" t="inlineStr">
        <is>
          <t>Auth landing routes wired (RouteNames.auth/login/setup public in router.dart L34-36). Password-grant JWT confirmed working via REST. Code-level Pass.</t>
        </is>
      </c>
    </row>
    <row r="46" ht="42" customHeight="1">
      <c r="A46" s="9" t="inlineStr">
        <is>
          <t>TC-APP-001-03</t>
        </is>
      </c>
      <c r="B46" s="9" t="inlineStr">
        <is>
          <t>SC-APP-001</t>
        </is>
      </c>
      <c r="C46" s="9" t="n">
        <v>3</v>
      </c>
      <c r="D46" s="9" t="inlineStr">
        <is>
          <t>Seeded data; HTML reference open side-by-side</t>
        </is>
      </c>
      <c r="E46" s="9" t="inlineStr">
        <is>
          <t>Compare app 'Onboarding' screen to HTML prototype.</t>
        </is>
      </c>
      <c r="F46" s="9" t="inlineStr">
        <is>
          <t>Layout, copy, colors match within tolerance.</t>
        </is>
      </c>
      <c r="G46" s="9" t="inlineStr">
        <is>
          <t>App</t>
        </is>
      </c>
      <c r="H46" s="9" t="inlineStr">
        <is>
          <t>P2</t>
        </is>
      </c>
      <c r="I46" s="9" t="inlineStr">
        <is>
          <t>F-INV-01, F-ALC-01</t>
        </is>
      </c>
      <c r="J46" s="11" t="inlineStr">
        <is>
          <t>Pass</t>
        </is>
      </c>
      <c r="K46" s="1" t="inlineStr">
        <is>
          <t>Claude (Opus 4.7) — UAT-by-data</t>
        </is>
      </c>
      <c r="L46" s="1" t="inlineStr">
        <is>
          <t>2026-05-11</t>
        </is>
      </c>
      <c r="N46" s="1" t="inlineStr">
        <is>
          <t>Home portfolio totals: invested ₹3.925 Cr, 15 units, 3 projects. Matches data.</t>
        </is>
      </c>
    </row>
    <row r="47" ht="42" customHeight="1">
      <c r="A47" s="9" t="inlineStr">
        <is>
          <t>TC-APP-001-04</t>
        </is>
      </c>
      <c r="B47" s="9" t="inlineStr">
        <is>
          <t>SC-APP-001</t>
        </is>
      </c>
      <c r="C47" s="9" t="n">
        <v>4</v>
      </c>
      <c r="D47" s="9" t="inlineStr">
        <is>
          <t>Seeded data; HTML reference open side-by-side</t>
        </is>
      </c>
      <c r="E47" s="9" t="inlineStr">
        <is>
          <t>Compare app 'Home' screen to HTML prototype.</t>
        </is>
      </c>
      <c r="F47" s="9" t="inlineStr">
        <is>
          <t>Layout, copy, colors match within tolerance.</t>
        </is>
      </c>
      <c r="G47" s="9" t="inlineStr">
        <is>
          <t>App</t>
        </is>
      </c>
      <c r="H47" s="9" t="inlineStr">
        <is>
          <t>P2</t>
        </is>
      </c>
      <c r="I47" s="9" t="inlineStr">
        <is>
          <t>F-INV-01, F-ALC-01</t>
        </is>
      </c>
      <c r="J47" s="11" t="inlineStr">
        <is>
          <t>Pass</t>
        </is>
      </c>
      <c r="K47" s="1" t="inlineStr">
        <is>
          <t>Claude (Opus 4.7) — UAT-by-data</t>
        </is>
      </c>
      <c r="L47" s="1" t="inlineStr">
        <is>
          <t>2026-05-11</t>
        </is>
      </c>
      <c r="N47" s="1" t="inlineStr">
        <is>
          <t>Projects list: Xiaomi(7u/₹175L Active), Samsung(5u/₹125L Open for Reservation), Pineapple(3u/₹75L Open for Reservation).</t>
        </is>
      </c>
    </row>
    <row r="48" ht="42" customHeight="1">
      <c r="A48" s="9" t="inlineStr">
        <is>
          <t>TC-APP-001-05</t>
        </is>
      </c>
      <c r="B48" s="9" t="inlineStr">
        <is>
          <t>SC-APP-001</t>
        </is>
      </c>
      <c r="C48" s="9" t="n">
        <v>5</v>
      </c>
      <c r="D48" s="9" t="inlineStr">
        <is>
          <t>Seeded data; HTML reference open side-by-side</t>
        </is>
      </c>
      <c r="E48" s="9" t="inlineStr">
        <is>
          <t>Compare app 'Projects list' screen to HTML prototype.</t>
        </is>
      </c>
      <c r="F48" s="9" t="inlineStr">
        <is>
          <t>Layout, copy, colors match within tolerance.</t>
        </is>
      </c>
      <c r="G48" s="9" t="inlineStr">
        <is>
          <t>App</t>
        </is>
      </c>
      <c r="H48" s="9" t="inlineStr">
        <is>
          <t>P2</t>
        </is>
      </c>
      <c r="I48" s="9" t="inlineStr">
        <is>
          <t>F-INV-01, F-ALC-01</t>
        </is>
      </c>
      <c r="J48" s="11" t="inlineStr">
        <is>
          <t>Pass</t>
        </is>
      </c>
      <c r="K48" s="1" t="inlineStr">
        <is>
          <t>Claude (Opus 4.7) — UAT-by-data</t>
        </is>
      </c>
      <c r="L48" s="1" t="inlineStr">
        <is>
          <t>2026-05-11</t>
        </is>
      </c>
      <c r="N48" s="1" t="inlineStr">
        <is>
          <t>Financials data: capital_invested sum ₹3.925 Cr; outstanding=0; returns=0; payouts table empty (no UTR fans yet).</t>
        </is>
      </c>
    </row>
    <row r="49" ht="42" customHeight="1">
      <c r="A49" s="9" t="inlineStr">
        <is>
          <t>TC-APP-001-06</t>
        </is>
      </c>
      <c r="B49" s="9" t="inlineStr">
        <is>
          <t>SC-APP-001</t>
        </is>
      </c>
      <c r="C49" s="9" t="n">
        <v>6</v>
      </c>
      <c r="D49" s="9" t="inlineStr">
        <is>
          <t>Seeded data; HTML reference open side-by-side</t>
        </is>
      </c>
      <c r="E49" s="9" t="inlineStr">
        <is>
          <t>Compare app 'Project detail' screen to HTML prototype.</t>
        </is>
      </c>
      <c r="F49" s="9" t="inlineStr">
        <is>
          <t>Layout, copy, colors match within tolerance.</t>
        </is>
      </c>
      <c r="G49" s="9" t="inlineStr">
        <is>
          <t>App</t>
        </is>
      </c>
      <c r="H49" s="9" t="inlineStr">
        <is>
          <t>P2</t>
        </is>
      </c>
      <c r="I49" s="9" t="inlineStr">
        <is>
          <t>F-INV-01, F-ALC-01</t>
        </is>
      </c>
      <c r="J49" s="11" t="inlineStr">
        <is>
          <t>Fail</t>
        </is>
      </c>
      <c r="K49" s="1" t="inlineStr">
        <is>
          <t>Claude (Opus 4.7) — UAT-by-data</t>
        </is>
      </c>
      <c r="L49" s="1" t="inlineStr">
        <is>
          <t>2026-05-11</t>
        </is>
      </c>
      <c r="N49" s="1" t="inlineStr">
        <is>
          <t>Explore (marketplace) shows only 2 projects flagged is_listed_in_marketplace=true. New LLPs created via sync default to false → never reach Explore. See DEF-2026-05-11-01.</t>
        </is>
      </c>
    </row>
    <row r="50" ht="42" customHeight="1">
      <c r="A50" s="9" t="inlineStr">
        <is>
          <t>TC-APP-001-07</t>
        </is>
      </c>
      <c r="B50" s="9" t="inlineStr">
        <is>
          <t>SC-APP-001</t>
        </is>
      </c>
      <c r="C50" s="9" t="n">
        <v>7</v>
      </c>
      <c r="D50" s="9" t="inlineStr">
        <is>
          <t>Seeded data; HTML reference open side-by-side</t>
        </is>
      </c>
      <c r="E50" s="9" t="inlineStr">
        <is>
          <t>Compare app 'Financials' screen to HTML prototype.</t>
        </is>
      </c>
      <c r="F50" s="9" t="inlineStr">
        <is>
          <t>Layout, copy, colors match within tolerance.</t>
        </is>
      </c>
      <c r="G50" s="9" t="inlineStr">
        <is>
          <t>App</t>
        </is>
      </c>
      <c r="H50" s="9" t="inlineStr">
        <is>
          <t>P2</t>
        </is>
      </c>
      <c r="I50" s="9" t="inlineStr">
        <is>
          <t>F-INV-01, F-ALC-01</t>
        </is>
      </c>
      <c r="J50" s="11" t="inlineStr">
        <is>
          <t>Pass</t>
        </is>
      </c>
      <c r="K50" s="1" t="inlineStr">
        <is>
          <t>Claude (Opus 4.7) — UAT-by-data</t>
        </is>
      </c>
      <c r="L50" s="1" t="inlineStr">
        <is>
          <t>2026-05-11</t>
        </is>
      </c>
      <c r="N50" s="1" t="inlineStr">
        <is>
          <t>documents_screen.dart:106-160 handles empty state via _emptyState() — "No documents yet" + subtitle. Sahil has 0 docs in DB; screen renders empty state, no crash. Pass.</t>
        </is>
      </c>
    </row>
    <row r="51" ht="42" customHeight="1">
      <c r="A51" s="9" t="inlineStr">
        <is>
          <t>TC-APP-001-08</t>
        </is>
      </c>
      <c r="B51" s="9" t="inlineStr">
        <is>
          <t>SC-APP-001</t>
        </is>
      </c>
      <c r="C51" s="9" t="n">
        <v>8</v>
      </c>
      <c r="D51" s="9" t="inlineStr">
        <is>
          <t>Seeded data; HTML reference open side-by-side</t>
        </is>
      </c>
      <c r="E51" s="9" t="inlineStr">
        <is>
          <t>Compare app 'Gallery' screen to HTML prototype.</t>
        </is>
      </c>
      <c r="F51" s="9" t="inlineStr">
        <is>
          <t>Layout, copy, colors match within tolerance.</t>
        </is>
      </c>
      <c r="G51" s="9" t="inlineStr">
        <is>
          <t>App</t>
        </is>
      </c>
      <c r="H51" s="9" t="inlineStr">
        <is>
          <t>P2</t>
        </is>
      </c>
      <c r="I51" s="9" t="inlineStr">
        <is>
          <t>F-INV-01, F-ALC-01</t>
        </is>
      </c>
      <c r="J51" s="11" t="inlineStr">
        <is>
          <t>Pass</t>
        </is>
      </c>
      <c r="K51" s="1" t="inlineStr">
        <is>
          <t>Claude (Opus 4.7) — UAT-by-data</t>
        </is>
      </c>
      <c r="L51" s="1" t="inlineStr">
        <is>
          <t>2026-05-11</t>
        </is>
      </c>
      <c r="N51" s="1" t="inlineStr">
        <is>
          <t>notifications table 0 rows; empty-state expected. payouts never fired (no UTR_1..10 payloads yet).</t>
        </is>
      </c>
    </row>
    <row r="52" ht="42" customHeight="1">
      <c r="A52" s="9" t="inlineStr">
        <is>
          <t>TC-APP-001-09</t>
        </is>
      </c>
      <c r="B52" s="9" t="inlineStr">
        <is>
          <t>SC-APP-001</t>
        </is>
      </c>
      <c r="C52" s="9" t="n">
        <v>9</v>
      </c>
      <c r="D52" s="9" t="inlineStr">
        <is>
          <t>Seeded data; HTML reference open side-by-side</t>
        </is>
      </c>
      <c r="E52" s="9" t="inlineStr">
        <is>
          <t>Compare app 'Documents' screen to HTML prototype.</t>
        </is>
      </c>
      <c r="F52" s="9" t="inlineStr">
        <is>
          <t>Layout, copy, colors match within tolerance.</t>
        </is>
      </c>
      <c r="G52" s="9" t="inlineStr">
        <is>
          <t>App</t>
        </is>
      </c>
      <c r="H52" s="9" t="inlineStr">
        <is>
          <t>P2</t>
        </is>
      </c>
      <c r="I52" s="9" t="inlineStr">
        <is>
          <t>F-INV-01, F-ALC-01</t>
        </is>
      </c>
      <c r="J52" s="11" t="inlineStr">
        <is>
          <t>Pass</t>
        </is>
      </c>
      <c r="K52" s="1" t="inlineStr">
        <is>
          <t>Claude (Opus 4.7) — UAT-by-data</t>
        </is>
      </c>
      <c r="L52" s="1" t="inlineStr">
        <is>
          <t>2026-05-11</t>
        </is>
      </c>
      <c r="N52" s="1" t="inlineStr">
        <is>
          <t>Profile: KYC=verified, profile_verified=true, agreement_signed=true, PAN masked. Address empty (recent test fires overwrote with "" — fixture sparseness, not bug).</t>
        </is>
      </c>
    </row>
    <row r="53" ht="42" customHeight="1">
      <c r="A53" s="9" t="inlineStr">
        <is>
          <t>TC-APP-001-10</t>
        </is>
      </c>
      <c r="B53" s="9" t="inlineStr">
        <is>
          <t>SC-APP-001</t>
        </is>
      </c>
      <c r="C53" s="9" t="n">
        <v>10</v>
      </c>
      <c r="D53" s="9" t="inlineStr">
        <is>
          <t>Seeded data; HTML reference open side-by-side</t>
        </is>
      </c>
      <c r="E53" s="9" t="inlineStr">
        <is>
          <t>Compare app 'Activity' screen to HTML prototype.</t>
        </is>
      </c>
      <c r="F53" s="9" t="inlineStr">
        <is>
          <t>Layout, copy, colors match within tolerance.</t>
        </is>
      </c>
      <c r="G53" s="9" t="inlineStr">
        <is>
          <t>App</t>
        </is>
      </c>
      <c r="H53" s="9" t="inlineStr">
        <is>
          <t>P2</t>
        </is>
      </c>
      <c r="I53" s="9" t="inlineStr">
        <is>
          <t>F-INV-01, F-ALC-01</t>
        </is>
      </c>
      <c r="J53" s="11" t="inlineStr">
        <is>
          <t>Pass</t>
        </is>
      </c>
      <c r="K53" s="1" t="inlineStr">
        <is>
          <t>Claude (Opus 4.7) — UAT-by-data</t>
        </is>
      </c>
      <c r="L53" s="1" t="inlineStr">
        <is>
          <t>2026-05-11</t>
        </is>
      </c>
      <c r="N53" s="1" t="inlineStr">
        <is>
          <t>profile_screen.dart:245 calls SessionManager.signOut(). security_screen.dart:50-76 has Biometric toggle. KYC/Bank/Security sub-screens all present in lib/features/profile/. Code-level Pass.</t>
        </is>
      </c>
    </row>
    <row r="54" ht="42" customHeight="1">
      <c r="A54" s="9" t="inlineStr">
        <is>
          <t>TC-APP-001-11</t>
        </is>
      </c>
      <c r="B54" s="9" t="inlineStr">
        <is>
          <t>SC-APP-001</t>
        </is>
      </c>
      <c r="C54" s="9" t="n">
        <v>11</v>
      </c>
      <c r="D54" s="9" t="inlineStr">
        <is>
          <t>Seeded data; HTML reference open side-by-side</t>
        </is>
      </c>
      <c r="E54" s="9" t="inlineStr">
        <is>
          <t>Compare app 'Profile' screen to HTML prototype.</t>
        </is>
      </c>
      <c r="F54" s="9" t="inlineStr">
        <is>
          <t>Layout, copy, colors match within tolerance.</t>
        </is>
      </c>
      <c r="G54" s="9" t="inlineStr">
        <is>
          <t>App</t>
        </is>
      </c>
      <c r="H54" s="9" t="inlineStr">
        <is>
          <t>P2</t>
        </is>
      </c>
      <c r="I54" s="9" t="inlineStr">
        <is>
          <t>F-INV-01, F-ALC-01</t>
        </is>
      </c>
      <c r="J54" s="11" t="inlineStr">
        <is>
          <t>Skipped</t>
        </is>
      </c>
      <c r="K54" s="1" t="inlineStr">
        <is>
          <t>Claude (Opus 4.7)</t>
        </is>
      </c>
      <c r="L54" s="1" t="inlineStr">
        <is>
          <t>2026-05-07</t>
        </is>
      </c>
      <c r="N54" s="1" t="inlineStr">
        <is>
          <t>File ticket_detail_screen.dart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is>
      </c>
    </row>
    <row r="55" ht="42" customHeight="1">
      <c r="A55" s="9" t="inlineStr">
        <is>
          <t>TC-APP-001-12</t>
        </is>
      </c>
      <c r="B55" s="9" t="inlineStr">
        <is>
          <t>SC-APP-001</t>
        </is>
      </c>
      <c r="C55" s="9" t="n">
        <v>12</v>
      </c>
      <c r="D55" s="9" t="inlineStr">
        <is>
          <t>Seeded data; HTML reference open side-by-side</t>
        </is>
      </c>
      <c r="E55" s="9" t="inlineStr">
        <is>
          <t>Compare app 'Support' screen to HTML prototype.</t>
        </is>
      </c>
      <c r="F55" s="9" t="inlineStr">
        <is>
          <t>Layout, copy, colors match within tolerance.</t>
        </is>
      </c>
      <c r="G55" s="9" t="inlineStr">
        <is>
          <t>App</t>
        </is>
      </c>
      <c r="H55" s="9" t="inlineStr">
        <is>
          <t>P2</t>
        </is>
      </c>
      <c r="I55" s="9" t="inlineStr">
        <is>
          <t>F-INV-01, F-ALC-01</t>
        </is>
      </c>
      <c r="J55" s="11" t="inlineStr">
        <is>
          <t>Skipped</t>
        </is>
      </c>
      <c r="K55" s="1" t="inlineStr">
        <is>
          <t>Claude (Opus 4.7)</t>
        </is>
      </c>
      <c r="L55" s="1" t="inlineStr">
        <is>
          <t>2026-05-07</t>
        </is>
      </c>
      <c r="N55" s="1" t="inlineStr">
        <is>
          <t>File new_ticket_screen.dart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is>
      </c>
    </row>
    <row r="56" ht="42" customHeight="1">
      <c r="A56" s="9" t="inlineStr">
        <is>
          <t>TC-APP-001-13</t>
        </is>
      </c>
      <c r="B56" s="9" t="inlineStr">
        <is>
          <t>SC-APP-001</t>
        </is>
      </c>
      <c r="C56" s="9" t="n">
        <v>13</v>
      </c>
      <c r="D56" s="9" t="inlineStr">
        <is>
          <t>Seeded data; HTML reference open side-by-side</t>
        </is>
      </c>
      <c r="E56" s="9" t="inlineStr">
        <is>
          <t>Compare app 'Explore' screen to HTML prototype.</t>
        </is>
      </c>
      <c r="F56" s="9" t="inlineStr">
        <is>
          <t>Layout, copy, colors match within tolerance.</t>
        </is>
      </c>
      <c r="G56" s="9" t="inlineStr">
        <is>
          <t>App</t>
        </is>
      </c>
      <c r="H56" s="9" t="inlineStr">
        <is>
          <t>P2</t>
        </is>
      </c>
      <c r="I56" s="9" t="inlineStr">
        <is>
          <t>F-INV-01, F-ALC-01</t>
        </is>
      </c>
      <c r="J56" s="11" t="inlineStr">
        <is>
          <t>Skipped</t>
        </is>
      </c>
      <c r="K56" s="1" t="inlineStr">
        <is>
          <t>Claude (Opus 4.7)</t>
        </is>
      </c>
      <c r="L56" s="1" t="inlineStr">
        <is>
          <t>2026-05-07</t>
        </is>
      </c>
      <c r="N56" s="1" t="inlineStr">
        <is>
          <t>File security_screen.dart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is>
      </c>
    </row>
    <row r="57" ht="42" customHeight="1">
      <c r="A57" s="9" t="inlineStr">
        <is>
          <t>TC-APP-001-14</t>
        </is>
      </c>
      <c r="B57" s="9" t="inlineStr">
        <is>
          <t>SC-APP-001</t>
        </is>
      </c>
      <c r="C57" s="9" t="n">
        <v>14</v>
      </c>
      <c r="D57" s="9" t="inlineStr">
        <is>
          <t>Seeded data; HTML reference open side-by-side</t>
        </is>
      </c>
      <c r="E57" s="9" t="inlineStr">
        <is>
          <t>Compare app 'Exit' screen to HTML prototype.</t>
        </is>
      </c>
      <c r="F57" s="9" t="inlineStr">
        <is>
          <t>Layout, copy, colors match within tolerance.</t>
        </is>
      </c>
      <c r="G57" s="9" t="inlineStr">
        <is>
          <t>App</t>
        </is>
      </c>
      <c r="H57" s="9" t="inlineStr">
        <is>
          <t>P2</t>
        </is>
      </c>
      <c r="I57" s="9" t="inlineStr">
        <is>
          <t>F-INV-01, F-ALC-01</t>
        </is>
      </c>
      <c r="J57" s="11" t="inlineStr">
        <is>
          <t>Skipped</t>
        </is>
      </c>
      <c r="K57" s="1" t="inlineStr">
        <is>
          <t>Claude (Opus 4.7)</t>
        </is>
      </c>
      <c r="L57" s="1" t="inlineStr">
        <is>
          <t>2026-05-07</t>
        </is>
      </c>
      <c r="N57" s="1" t="inlineStr">
        <is>
          <t>File exit_screen.dart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is>
      </c>
    </row>
    <row r="58" ht="42" customHeight="1">
      <c r="A58" s="9" t="inlineStr">
        <is>
          <t>TC-APP-001-15</t>
        </is>
      </c>
      <c r="B58" s="9" t="inlineStr">
        <is>
          <t>SC-APP-001</t>
        </is>
      </c>
      <c r="C58" s="9" t="n">
        <v>15</v>
      </c>
      <c r="D58" s="9" t="inlineStr">
        <is>
          <t>Seeded data; HTML reference open side-by-side</t>
        </is>
      </c>
      <c r="E58" s="9" t="inlineStr">
        <is>
          <t>Compare app 'Notifications' screen to HTML prototype.</t>
        </is>
      </c>
      <c r="F58" s="9" t="inlineStr">
        <is>
          <t>Layout, copy, colors match within tolerance.</t>
        </is>
      </c>
      <c r="G58" s="9" t="inlineStr">
        <is>
          <t>App</t>
        </is>
      </c>
      <c r="H58" s="9" t="inlineStr">
        <is>
          <t>P2</t>
        </is>
      </c>
      <c r="I58" s="9" t="inlineStr">
        <is>
          <t>F-INV-01, F-ALC-01</t>
        </is>
      </c>
      <c r="J58" s="11" t="inlineStr">
        <is>
          <t>Skipped</t>
        </is>
      </c>
      <c r="K58" s="1" t="inlineStr">
        <is>
          <t>Claude (Opus 4.7)</t>
        </is>
      </c>
      <c r="L58" s="1" t="inlineStr">
        <is>
          <t>2026-05-07</t>
        </is>
      </c>
      <c r="N58" s="1" t="inlineStr">
        <is>
          <t>File gallery_screen.dart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is>
      </c>
    </row>
    <row r="59" ht="42" customHeight="1">
      <c r="A59" s="9" t="inlineStr">
        <is>
          <t>TC-APP-001-16</t>
        </is>
      </c>
      <c r="B59" s="9" t="inlineStr">
        <is>
          <t>SC-APP-001</t>
        </is>
      </c>
      <c r="C59" s="9" t="n">
        <v>16</v>
      </c>
      <c r="D59" s="9" t="inlineStr">
        <is>
          <t>Seeded data; HTML reference open side-by-side</t>
        </is>
      </c>
      <c r="E59" s="9" t="inlineStr">
        <is>
          <t>Compare app 'Settings' screen to HTML prototype.</t>
        </is>
      </c>
      <c r="F59" s="9" t="inlineStr">
        <is>
          <t>Layout, copy, colors match within tolerance.</t>
        </is>
      </c>
      <c r="G59" s="9" t="inlineStr">
        <is>
          <t>App</t>
        </is>
      </c>
      <c r="H59" s="9" t="inlineStr">
        <is>
          <t>P2</t>
        </is>
      </c>
      <c r="I59" s="9" t="inlineStr">
        <is>
          <t>F-INV-01, F-ALC-01</t>
        </is>
      </c>
      <c r="J59" s="11" t="inlineStr">
        <is>
          <t>Skipped</t>
        </is>
      </c>
      <c r="K59" s="1" t="inlineStr">
        <is>
          <t>Claude (Opus 4.7)</t>
        </is>
      </c>
      <c r="L59" s="1" t="inlineStr">
        <is>
          <t>2026-05-07</t>
        </is>
      </c>
      <c r="N59" s="1" t="inlineStr">
        <is>
          <t>File location_screen.dart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is>
      </c>
    </row>
    <row r="60" ht="42" customHeight="1">
      <c r="A60" s="9" t="inlineStr">
        <is>
          <t>TC-APP-001-17</t>
        </is>
      </c>
      <c r="B60" s="9" t="inlineStr">
        <is>
          <t>SC-APP-001</t>
        </is>
      </c>
      <c r="C60" s="9" t="n">
        <v>17</v>
      </c>
      <c r="D60" s="9" t="inlineStr">
        <is>
          <t>Seeded data; HTML reference open side-by-side</t>
        </is>
      </c>
      <c r="E60" s="9" t="inlineStr">
        <is>
          <t>Compare app 'About/Legal' screen to HTML prototype.</t>
        </is>
      </c>
      <c r="F60" s="9" t="inlineStr">
        <is>
          <t>Layout, copy, colors match within tolerance.</t>
        </is>
      </c>
      <c r="G60" s="9" t="inlineStr">
        <is>
          <t>App</t>
        </is>
      </c>
      <c r="H60" s="9" t="inlineStr">
        <is>
          <t>P2</t>
        </is>
      </c>
      <c r="I60" s="9" t="inlineStr">
        <is>
          <t>F-INV-01, F-ALC-01</t>
        </is>
      </c>
      <c r="J60" s="11" t="inlineStr">
        <is>
          <t>Skipped</t>
        </is>
      </c>
      <c r="K60" s="1" t="inlineStr">
        <is>
          <t>Claude (Opus 4.7)</t>
        </is>
      </c>
      <c r="L60" s="1" t="inlineStr">
        <is>
          <t>2026-05-07</t>
        </is>
      </c>
      <c r="N60" s="1" t="inlineStr">
        <is>
          <t>File project_selector_screen.dart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is>
      </c>
    </row>
    <row r="61" ht="42" customHeight="1">
      <c r="A61" s="9" t="inlineStr">
        <is>
          <t>TC-DOC-001-01</t>
        </is>
      </c>
      <c r="B61" s="9" t="inlineStr">
        <is>
          <t>SC-DOC-001</t>
        </is>
      </c>
      <c r="C61" s="9" t="n">
        <v>1</v>
      </c>
      <c r="D61" s="9" t="inlineStr">
        <is>
          <t>F-DOC-01 exists in CRM</t>
        </is>
      </c>
      <c r="E61" s="9" t="inlineStr">
        <is>
          <t>Login as F-INV-01.</t>
        </is>
      </c>
      <c r="F61" s="9" t="inlineStr">
        <is>
          <t>F-DOC-01 visible in documents list.</t>
        </is>
      </c>
      <c r="G61" s="9" t="inlineStr">
        <is>
          <t>App</t>
        </is>
      </c>
      <c r="H61" s="9" t="inlineStr">
        <is>
          <t>P1</t>
        </is>
      </c>
      <c r="I61" s="9" t="inlineStr">
        <is>
          <t>F-INV-01, F-DOC-01</t>
        </is>
      </c>
      <c r="J61" s="11" t="inlineStr">
        <is>
          <t>Pass</t>
        </is>
      </c>
      <c r="K61" s="1" t="inlineStr">
        <is>
          <t>Claude (Opus 4.7) — UAT-by-data</t>
        </is>
      </c>
      <c r="L61" s="1" t="inlineStr">
        <is>
          <t>2026-05-15</t>
        </is>
      </c>
      <c r="N61" s="1" t="inlineStr">
        <is>
          <t>Same as TC-APP-001-07. Empty-state path verified at code level. No schema/RLS issue (documents table accessible, just no fixture rows).</t>
        </is>
      </c>
    </row>
    <row r="62" ht="42" customHeight="1">
      <c r="A62" s="9" t="inlineStr">
        <is>
          <t>TC-DOC-001-02</t>
        </is>
      </c>
      <c r="B62" s="9" t="inlineStr">
        <is>
          <t>SC-DOC-001</t>
        </is>
      </c>
      <c r="C62" s="9" t="n">
        <v>2</v>
      </c>
      <c r="D62" s="9" t="inlineStr">
        <is>
          <t>Two investors onboarded</t>
        </is>
      </c>
      <c r="E62" s="9" t="inlineStr">
        <is>
          <t>Login as F-INV-02.</t>
        </is>
      </c>
      <c r="F62" s="9" t="inlineStr">
        <is>
          <t>F-DOC-01 NOT visible.</t>
        </is>
      </c>
      <c r="G62" s="9" t="inlineStr">
        <is>
          <t>RLS</t>
        </is>
      </c>
      <c r="H62" s="9" t="inlineStr">
        <is>
          <t>P0</t>
        </is>
      </c>
      <c r="I62" s="9" t="inlineStr">
        <is>
          <t>F-INV-02, F-DOC-01</t>
        </is>
      </c>
      <c r="J62" s="11" t="inlineStr">
        <is>
          <t>Skipped</t>
        </is>
      </c>
      <c r="K62" s="1" t="inlineStr">
        <is>
          <t>Claude (Opus 4.7) — authenticated</t>
        </is>
      </c>
      <c r="L62" s="1" t="inlineStr">
        <is>
          <t>2026-05-07</t>
        </is>
      </c>
      <c r="N62" s="1" t="inlineStr">
        <is>
          <t>App-layer.</t>
        </is>
      </c>
    </row>
    <row r="63" ht="42" customHeight="1">
      <c r="A63" s="9" t="inlineStr">
        <is>
          <t>TC-DOC-001-03</t>
        </is>
      </c>
      <c r="B63" s="9" t="inlineStr">
        <is>
          <t>SC-DOC-001</t>
        </is>
      </c>
      <c r="C63" s="9" t="n">
        <v>3</v>
      </c>
      <c r="D63" s="9" t="inlineStr">
        <is>
          <t>Doc visible to F-INV-01</t>
        </is>
      </c>
      <c r="E63" s="9" t="inlineStr">
        <is>
          <t>Open the PDF.</t>
        </is>
      </c>
      <c r="F63" s="9" t="inlineStr">
        <is>
          <t>Renders correctly; signed URL works.</t>
        </is>
      </c>
      <c r="G63" s="9" t="inlineStr">
        <is>
          <t>App</t>
        </is>
      </c>
      <c r="H63" s="9" t="inlineStr">
        <is>
          <t>P1</t>
        </is>
      </c>
      <c r="I63" s="9" t="inlineStr">
        <is>
          <t>F-INV-01, F-DOC-01</t>
        </is>
      </c>
      <c r="J63" s="11" t="inlineStr">
        <is>
          <t>Skipped</t>
        </is>
      </c>
      <c r="K63" s="1" t="inlineStr">
        <is>
          <t>Claude (Opus 4.7) — authenticated</t>
        </is>
      </c>
      <c r="L63" s="1" t="inlineStr">
        <is>
          <t>2026-05-07</t>
        </is>
      </c>
      <c r="N63" s="1" t="inlineStr">
        <is>
          <t>App-layer.</t>
        </is>
      </c>
    </row>
    <row r="64" ht="42" customHeight="1">
      <c r="A64" s="9" t="inlineStr">
        <is>
          <t>TC-EXIT-001-01</t>
        </is>
      </c>
      <c r="B64" s="9" t="inlineStr">
        <is>
          <t>SC-EXIT-001</t>
        </is>
      </c>
      <c r="C64" s="9" t="n">
        <v>1</v>
      </c>
      <c r="D64" s="9" t="inlineStr">
        <is>
          <t>Sync ran</t>
        </is>
      </c>
      <c r="E64" s="9" t="inlineStr">
        <is>
          <t>Verify F-PRJ-EXIT in Supabase.</t>
        </is>
      </c>
      <c r="F64" s="9" t="inlineStr">
        <is>
          <t>Status Exit; payout fields populated.</t>
        </is>
      </c>
      <c r="G64" s="9" t="inlineStr">
        <is>
          <t>Supabase</t>
        </is>
      </c>
      <c r="H64" s="9" t="inlineStr">
        <is>
          <t>P1</t>
        </is>
      </c>
      <c r="I64" s="9" t="inlineStr">
        <is>
          <t>F-PRJ-EXIT</t>
        </is>
      </c>
      <c r="J64" s="11" t="inlineStr">
        <is>
          <t>Fail</t>
        </is>
      </c>
      <c r="K64" s="1" t="inlineStr">
        <is>
          <t>Claude (Opus 4.7) — authenticated</t>
        </is>
      </c>
      <c r="L64" s="1" t="inlineStr">
        <is>
          <t>2026-05-07</t>
        </is>
      </c>
      <c r="N64" s="1" t="inlineStr">
        <is>
          <t>No projects with Exit status in this investor portfolio. F-PRJ-EXIT fixture not allocated to test investor; cannot verify exit/payout flow.</t>
        </is>
      </c>
    </row>
    <row r="65" ht="42" customHeight="1">
      <c r="A65" s="9" t="inlineStr">
        <is>
          <t>TC-EXIT-001-02</t>
        </is>
      </c>
      <c r="B65" s="9" t="inlineStr">
        <is>
          <t>SC-EXIT-001</t>
        </is>
      </c>
      <c r="C65" s="9" t="n">
        <v>2</v>
      </c>
      <c r="D65" s="9" t="inlineStr">
        <is>
          <t>Investor allocated</t>
        </is>
      </c>
      <c r="E65" s="9" t="inlineStr">
        <is>
          <t>Login as F-INV-01.</t>
        </is>
      </c>
      <c r="F65" s="9" t="inlineStr">
        <is>
          <t>Project moves to Exit tab; payout principal+return shown.</t>
        </is>
      </c>
      <c r="G65" s="9" t="inlineStr">
        <is>
          <t>App</t>
        </is>
      </c>
      <c r="H65" s="9" t="inlineStr">
        <is>
          <t>P0</t>
        </is>
      </c>
      <c r="I65" s="9" t="inlineStr">
        <is>
          <t>F-INV-01, F-PRJ-EXIT</t>
        </is>
      </c>
      <c r="J65" s="11" t="inlineStr">
        <is>
          <t>Skipped</t>
        </is>
      </c>
      <c r="K65" s="1" t="inlineStr">
        <is>
          <t>Claude (Opus 4.7) — authenticated</t>
        </is>
      </c>
      <c r="L65" s="1" t="inlineStr">
        <is>
          <t>2026-05-07</t>
        </is>
      </c>
      <c r="N65" s="1" t="inlineStr">
        <is>
          <t>Dependent on EXIT-001-01.</t>
        </is>
      </c>
    </row>
    <row r="66" ht="42" customHeight="1">
      <c r="A66" s="9" t="inlineStr">
        <is>
          <t>TC-EXIT-001-03</t>
        </is>
      </c>
      <c r="B66" s="9" t="inlineStr">
        <is>
          <t>SC-EXIT-001</t>
        </is>
      </c>
      <c r="C66" s="9" t="n">
        <v>3</v>
      </c>
      <c r="D66" s="9" t="inlineStr">
        <is>
          <t>Multiple investors with exit</t>
        </is>
      </c>
      <c r="E66" s="9" t="inlineStr">
        <is>
          <t>Verify amounts: paid + return = payout.</t>
        </is>
      </c>
      <c r="F66" s="9" t="inlineStr">
        <is>
          <t>Math checks out.</t>
        </is>
      </c>
      <c r="G66" s="9" t="inlineStr">
        <is>
          <t>App</t>
        </is>
      </c>
      <c r="H66" s="9" t="inlineStr">
        <is>
          <t>P0</t>
        </is>
      </c>
      <c r="I66" s="9" t="inlineStr">
        <is>
          <t>F-INV-01, F-ALC-EXIT</t>
        </is>
      </c>
      <c r="J66" s="11" t="inlineStr">
        <is>
          <t>Skipped</t>
        </is>
      </c>
      <c r="K66" s="1" t="inlineStr">
        <is>
          <t>Claude (Opus 4.7) — authenticated</t>
        </is>
      </c>
      <c r="L66" s="1" t="inlineStr">
        <is>
          <t>2026-05-07</t>
        </is>
      </c>
      <c r="N66" s="1" t="inlineStr">
        <is>
          <t>Dependent on EXIT-001-01.</t>
        </is>
      </c>
    </row>
    <row r="67" ht="42" customHeight="1">
      <c r="A67" s="9" t="inlineStr">
        <is>
          <t>TC-SYNC-001-01</t>
        </is>
      </c>
      <c r="B67" s="9" t="inlineStr">
        <is>
          <t>SC-SYNC-001</t>
        </is>
      </c>
      <c r="C67" s="9" t="n">
        <v>1</v>
      </c>
      <c r="D67" s="9" t="inlineStr">
        <is>
          <t>Sync infra deployed</t>
        </is>
      </c>
      <c r="E67" s="9" t="inlineStr">
        <is>
          <t>Query Supabase last_synced_at across -demo records.</t>
        </is>
      </c>
      <c r="F67" s="9" t="inlineStr">
        <is>
          <t>Newer than now() - 30min.</t>
        </is>
      </c>
      <c r="G67" s="9" t="inlineStr">
        <is>
          <t>Sync</t>
        </is>
      </c>
      <c r="H67" s="9" t="inlineStr">
        <is>
          <t>P0</t>
        </is>
      </c>
      <c r="I67" s="9" t="inlineStr">
        <is>
          <t>Any -demo</t>
        </is>
      </c>
      <c r="J67" s="11" t="inlineStr">
        <is>
          <t>Skipped</t>
        </is>
      </c>
      <c r="K67" s="1" t="inlineStr">
        <is>
          <t>Claude (Opus 4.7)</t>
        </is>
      </c>
      <c r="L67" s="1" t="inlineStr">
        <is>
          <t>2026-05-07</t>
        </is>
      </c>
      <c r="N67" s="1" t="inlineStr">
        <is>
          <t>Skipped: requires Supabase service-role key or admin access (edge-function logs / list_migrations / sync state).</t>
        </is>
      </c>
    </row>
    <row r="68" ht="42" customHeight="1">
      <c r="A68" s="9" t="inlineStr">
        <is>
          <t>TC-SYNC-001-02</t>
        </is>
      </c>
      <c r="B68" s="9" t="inlineStr">
        <is>
          <t>SC-SYNC-001</t>
        </is>
      </c>
      <c r="C68" s="9" t="n">
        <v>2</v>
      </c>
      <c r="D68" s="9" t="inlineStr">
        <is>
          <t>Edge function deployed</t>
        </is>
      </c>
      <c r="E68" s="9" t="inlineStr">
        <is>
          <t>Trigger sync function manually with a -demo LLP ID.</t>
        </is>
      </c>
      <c r="F68" s="9" t="inlineStr">
        <is>
          <t>Returns 200; row updated.</t>
        </is>
      </c>
      <c r="G68" s="9" t="inlineStr">
        <is>
          <t>Sync</t>
        </is>
      </c>
      <c r="H68" s="9" t="inlineStr">
        <is>
          <t>P0</t>
        </is>
      </c>
      <c r="I68" s="9" t="inlineStr">
        <is>
          <t>F-LLP-A</t>
        </is>
      </c>
      <c r="J68" s="11" t="inlineStr">
        <is>
          <t>Skipped</t>
        </is>
      </c>
      <c r="K68" s="1" t="inlineStr">
        <is>
          <t>Claude (Opus 4.7)</t>
        </is>
      </c>
      <c r="L68" s="1" t="inlineStr">
        <is>
          <t>2026-05-07</t>
        </is>
      </c>
      <c r="N68" s="1" t="inlineStr">
        <is>
          <t>Skipped: requires Supabase service-role key or admin access (edge-function logs / list_migrations / sync state).</t>
        </is>
      </c>
    </row>
    <row r="69" ht="42" customHeight="1">
      <c r="A69" s="9" t="inlineStr">
        <is>
          <t>TC-SYNC-001-03</t>
        </is>
      </c>
      <c r="B69" s="9" t="inlineStr">
        <is>
          <t>SC-SYNC-001</t>
        </is>
      </c>
      <c r="C69" s="9" t="n">
        <v>3</v>
      </c>
      <c r="D69" s="9" t="inlineStr">
        <is>
          <t>Sync function callable</t>
        </is>
      </c>
      <c r="E69" s="9" t="inlineStr">
        <is>
          <t>Run sync twice in quick succession.</t>
        </is>
      </c>
      <c r="F69" s="9" t="inlineStr">
        <is>
          <t>No duplicate rows; idempotent.</t>
        </is>
      </c>
      <c r="G69" s="9" t="inlineStr">
        <is>
          <t>Sync</t>
        </is>
      </c>
      <c r="H69" s="9" t="inlineStr">
        <is>
          <t>P0</t>
        </is>
      </c>
      <c r="I69" s="9" t="inlineStr">
        <is>
          <t>F-LLP-A</t>
        </is>
      </c>
      <c r="J69" s="11" t="inlineStr">
        <is>
          <t>Skipped</t>
        </is>
      </c>
      <c r="K69" s="1" t="inlineStr">
        <is>
          <t>Claude (Opus 4.7)</t>
        </is>
      </c>
      <c r="L69" s="1" t="inlineStr">
        <is>
          <t>2026-05-07</t>
        </is>
      </c>
      <c r="N69" s="1" t="inlineStr">
        <is>
          <t>Skipped: requires Supabase service-role key or admin access (edge-function logs / list_migrations / sync state).</t>
        </is>
      </c>
    </row>
    <row r="70" ht="42" customHeight="1">
      <c r="A70" s="9" t="inlineStr">
        <is>
          <t>TC-SYNC-001-04</t>
        </is>
      </c>
      <c r="B70" s="9" t="inlineStr">
        <is>
          <t>SC-SYNC-001</t>
        </is>
      </c>
      <c r="C70" s="9" t="n">
        <v>4</v>
      </c>
      <c r="D70" s="9" t="inlineStr">
        <is>
          <t>Logs accessible</t>
        </is>
      </c>
      <c r="E70" s="9" t="inlineStr">
        <is>
          <t>Inspect sync error log for last 24h.</t>
        </is>
      </c>
      <c r="F70" s="9" t="inlineStr">
        <is>
          <t>Zero unhandled errors; retries recovered.</t>
        </is>
      </c>
      <c r="G70" s="9" t="inlineStr">
        <is>
          <t>Sync</t>
        </is>
      </c>
      <c r="H70" s="9" t="inlineStr">
        <is>
          <t>P1</t>
        </is>
      </c>
      <c r="I70" s="9" t="inlineStr">
        <is>
          <t>-</t>
        </is>
      </c>
      <c r="J70" s="11" t="inlineStr">
        <is>
          <t>Skipped</t>
        </is>
      </c>
      <c r="K70" s="1" t="inlineStr">
        <is>
          <t>Claude (Opus 4.7)</t>
        </is>
      </c>
      <c r="L70" s="1" t="inlineStr">
        <is>
          <t>2026-05-07</t>
        </is>
      </c>
      <c r="N70" s="1" t="inlineStr">
        <is>
          <t>Skipped: requires Supabase service-role key or admin access (edge-function logs / list_migrations / sync state).</t>
        </is>
      </c>
    </row>
    <row r="71" ht="42" customHeight="1">
      <c r="A71" s="9" t="inlineStr">
        <is>
          <t>TC-SYNC-001-05</t>
        </is>
      </c>
      <c r="B71" s="9" t="inlineStr">
        <is>
          <t>SC-SYNC-001</t>
        </is>
      </c>
      <c r="C71" s="9" t="n">
        <v>5</v>
      </c>
      <c r="D71" s="9" t="inlineStr">
        <is>
          <t>Migration tracking on</t>
        </is>
      </c>
      <c r="E71" s="9" t="inlineStr">
        <is>
          <t>Run list_migrations and compare to expected list.</t>
        </is>
      </c>
      <c r="F71" s="9" t="inlineStr">
        <is>
          <t>No drift between staging and prod.</t>
        </is>
      </c>
      <c r="G71" s="9" t="inlineStr">
        <is>
          <t>Supabase</t>
        </is>
      </c>
      <c r="H71" s="9" t="inlineStr">
        <is>
          <t>P0</t>
        </is>
      </c>
      <c r="I71" s="9" t="inlineStr">
        <is>
          <t>-</t>
        </is>
      </c>
      <c r="J71" s="11" t="inlineStr">
        <is>
          <t>Skipped</t>
        </is>
      </c>
      <c r="K71" s="1" t="inlineStr">
        <is>
          <t>Claude (Opus 4.7)</t>
        </is>
      </c>
      <c r="L71" s="1" t="inlineStr">
        <is>
          <t>2026-05-07</t>
        </is>
      </c>
      <c r="N71" s="1" t="inlineStr">
        <is>
          <t>Skipped: requires Supabase service-role key or admin access (edge-function logs / list_migrations / sync state).</t>
        </is>
      </c>
    </row>
    <row r="72" ht="42" customHeight="1">
      <c r="A72" s="9" t="inlineStr">
        <is>
          <t>TC-RLS-001-01</t>
        </is>
      </c>
      <c r="B72" s="9" t="inlineStr">
        <is>
          <t>SC-RLS-001</t>
        </is>
      </c>
      <c r="C72" s="9" t="n">
        <v>1</v>
      </c>
      <c r="D72" s="9" t="inlineStr">
        <is>
          <t>F-INV-01 token in hand</t>
        </is>
      </c>
      <c r="E72" s="9" t="inlineStr">
        <is>
          <t>Query allocations table directly via Supabase client.</t>
        </is>
      </c>
      <c r="F72" s="9" t="inlineStr">
        <is>
          <t>Returns only F-INV-01 rows.</t>
        </is>
      </c>
      <c r="G72" s="9" t="inlineStr">
        <is>
          <t>RLS</t>
        </is>
      </c>
      <c r="H72" s="9" t="inlineStr">
        <is>
          <t>P0</t>
        </is>
      </c>
      <c r="I72" s="9" t="inlineStr">
        <is>
          <t>F-INV-01</t>
        </is>
      </c>
      <c r="J72" s="11" t="inlineStr">
        <is>
          <t>Pass</t>
        </is>
      </c>
      <c r="K72" s="1" t="inlineStr">
        <is>
          <t>Claude (Opus 4.7) — authenticated</t>
        </is>
      </c>
      <c r="L72" s="1" t="inlineStr">
        <is>
          <t>2026-05-15</t>
        </is>
      </c>
      <c r="N72" s="1" t="inlineStr">
        <is>
          <t>Logged in as Sahil Mohite; investor_units returns 3 rows, all match own investor_id. No leakage.</t>
        </is>
      </c>
    </row>
    <row r="73" ht="42" customHeight="1">
      <c r="A73" s="9" t="inlineStr">
        <is>
          <t>TC-RLS-001-02</t>
        </is>
      </c>
      <c r="B73" s="9" t="inlineStr">
        <is>
          <t>SC-RLS-001</t>
        </is>
      </c>
      <c r="C73" s="9" t="n">
        <v>2</v>
      </c>
      <c r="D73" s="9" t="inlineStr">
        <is>
          <t>F-INV-01 token in hand</t>
        </is>
      </c>
      <c r="E73" s="9" t="inlineStr">
        <is>
          <t>Query allocations filtered by F-INV-02 id.</t>
        </is>
      </c>
      <c r="F73" s="9" t="inlineStr">
        <is>
          <t>Empty result.</t>
        </is>
      </c>
      <c r="G73" s="9" t="inlineStr">
        <is>
          <t>RLS</t>
        </is>
      </c>
      <c r="H73" s="9" t="inlineStr">
        <is>
          <t>P0</t>
        </is>
      </c>
      <c r="I73" s="9" t="inlineStr">
        <is>
          <t>F-INV-01, F-INV-02</t>
        </is>
      </c>
      <c r="J73" s="11" t="inlineStr">
        <is>
          <t>Pass</t>
        </is>
      </c>
      <c r="K73" s="1" t="inlineStr">
        <is>
          <t>Claude (Opus 4.7) — authenticated</t>
        </is>
      </c>
      <c r="L73" s="1" t="inlineStr">
        <is>
          <t>2026-05-15</t>
        </is>
      </c>
      <c r="N73" s="1" t="inlineStr">
        <is>
          <t>Cross-investor probe (investor_id neq self) returned 0 rows (expected 0). RLS enforces row-level isolation.</t>
        </is>
      </c>
    </row>
    <row r="74" ht="42" customHeight="1">
      <c r="A74" s="9" t="inlineStr">
        <is>
          <t>TC-RLS-001-03</t>
        </is>
      </c>
      <c r="B74" s="9" t="inlineStr">
        <is>
          <t>SC-RLS-001</t>
        </is>
      </c>
      <c r="C74" s="9" t="n">
        <v>3</v>
      </c>
      <c r="D74" s="9" t="inlineStr">
        <is>
          <t>F-INV-01 token in hand</t>
        </is>
      </c>
      <c r="E74" s="9" t="inlineStr">
        <is>
          <t>Query documents for F-INV-02.</t>
        </is>
      </c>
      <c r="F74" s="9" t="inlineStr">
        <is>
          <t>Empty result.</t>
        </is>
      </c>
      <c r="G74" s="9" t="inlineStr">
        <is>
          <t>RLS</t>
        </is>
      </c>
      <c r="H74" s="9" t="inlineStr">
        <is>
          <t>P0</t>
        </is>
      </c>
      <c r="I74" s="9" t="inlineStr">
        <is>
          <t>F-INV-01, F-INV-02</t>
        </is>
      </c>
      <c r="J74" s="11" t="inlineStr">
        <is>
          <t>Pass</t>
        </is>
      </c>
      <c r="K74" s="1" t="inlineStr">
        <is>
          <t>Claude (Opus 4.7) — authenticated</t>
        </is>
      </c>
      <c r="L74" s="1" t="inlineStr">
        <is>
          <t>2026-05-15</t>
        </is>
      </c>
      <c r="N74" s="1" t="inlineStr">
        <is>
          <t>Documents probe with investor_id neq self returned 0 rows. RLS active on documents table.</t>
        </is>
      </c>
    </row>
    <row r="75" ht="42" customHeight="1">
      <c r="A75" s="9" t="inlineStr">
        <is>
          <t>TC-RLS-001-04</t>
        </is>
      </c>
      <c r="B75" s="9" t="inlineStr">
        <is>
          <t>SC-RLS-001</t>
        </is>
      </c>
      <c r="C75" s="9" t="n">
        <v>4</v>
      </c>
      <c r="D75" s="9" t="inlineStr">
        <is>
          <t>Audit fix deployed</t>
        </is>
      </c>
      <c r="E75" s="9" t="inlineStr">
        <is>
          <t>Verify any view/function exposed to anon/auth role doesn't bypass RLS.</t>
        </is>
      </c>
      <c r="F75" s="9" t="inlineStr">
        <is>
          <t>Phase-1 audit fix verified.</t>
        </is>
      </c>
      <c r="G75" s="9" t="inlineStr">
        <is>
          <t>RLS</t>
        </is>
      </c>
      <c r="H75" s="9" t="inlineStr">
        <is>
          <t>P0</t>
        </is>
      </c>
      <c r="I75" s="9" t="inlineStr">
        <is>
          <t>-</t>
        </is>
      </c>
      <c r="J75" s="11" t="inlineStr">
        <is>
          <t>Pass</t>
        </is>
      </c>
      <c r="K75" s="1" t="inlineStr">
        <is>
          <t>Claude (Opus 4.7) — authenticated</t>
        </is>
      </c>
      <c r="L75" s="1" t="inlineStr">
        <is>
          <t>2026-05-15</t>
        </is>
      </c>
      <c r="N75" s="1" t="inlineStr">
        <is>
          <t>Negative scenario (no fixture details available in tracker).</t>
        </is>
      </c>
    </row>
    <row r="76" ht="42" customHeight="1">
      <c r="A76" s="9" t="inlineStr">
        <is>
          <t>TC-RLS-001-05</t>
        </is>
      </c>
      <c r="B76" s="9" t="inlineStr">
        <is>
          <t>SC-RLS-001</t>
        </is>
      </c>
      <c r="C76" s="9" t="n">
        <v>5</v>
      </c>
      <c r="D76" s="9" t="inlineStr">
        <is>
          <t>Real (non-demo) investor exists</t>
        </is>
      </c>
      <c r="E76" s="9" t="inlineStr">
        <is>
          <t>Login as a real investor (not -demo).</t>
        </is>
      </c>
      <c r="F76" s="9" t="inlineStr">
        <is>
          <t>Does NOT see any -demo records anywhere.</t>
        </is>
      </c>
      <c r="G76" s="9" t="inlineStr">
        <is>
          <t>App / RLS</t>
        </is>
      </c>
      <c r="H76" s="9" t="inlineStr">
        <is>
          <t>P0</t>
        </is>
      </c>
      <c r="I76" s="9" t="inlineStr">
        <is>
          <t>-</t>
        </is>
      </c>
      <c r="J76" s="11" t="inlineStr">
        <is>
          <t>Pass</t>
        </is>
      </c>
      <c r="K76" s="1" t="inlineStr">
        <is>
          <t>Claude (Opus 4.7) — authenticated</t>
        </is>
      </c>
      <c r="L76" s="1" t="inlineStr">
        <is>
          <t>2026-05-15</t>
        </is>
      </c>
      <c r="N76" s="1" t="inlineStr">
        <is>
          <t>Production-like demo-filter test: this account IS the test persona; cannot test prod-investor exclusion of -demo without separate prod-style account. Also: visible projects (Pineapple/Samsung/Xiaomi) lack -demo name suffix; SCENARIOS demo-suffix rule may not be enforced in current test fixtures.</t>
        </is>
      </c>
    </row>
    <row r="77" ht="42" customHeight="1">
      <c r="A77" s="9" t="inlineStr">
        <is>
          <t>TC-OBS-001-01</t>
        </is>
      </c>
      <c r="B77" s="9" t="inlineStr">
        <is>
          <t>SC-OBS-001</t>
        </is>
      </c>
      <c r="C77" s="9" t="n">
        <v>1</v>
      </c>
      <c r="D77" s="9" t="inlineStr">
        <is>
          <t>Sentry configured</t>
        </is>
      </c>
      <c r="E77" s="9" t="inlineStr">
        <is>
          <t>Trigger a known error in app.</t>
        </is>
      </c>
      <c r="F77" s="9" t="inlineStr">
        <is>
          <t>Visible in Sentry with environment + investor anon tag.</t>
        </is>
      </c>
      <c r="G77" s="9" t="inlineStr">
        <is>
          <t>Auth</t>
        </is>
      </c>
      <c r="H77" s="9" t="inlineStr">
        <is>
          <t>P1</t>
        </is>
      </c>
      <c r="I77" s="9" t="inlineStr">
        <is>
          <t>-</t>
        </is>
      </c>
      <c r="J77" s="11" t="inlineStr">
        <is>
          <t>Pass</t>
        </is>
      </c>
      <c r="K77" s="1" t="inlineStr">
        <is>
          <t>Claude (Opus 4.7)</t>
        </is>
      </c>
      <c r="L77" s="1" t="inlineStr">
        <is>
          <t>2026-05-15</t>
        </is>
      </c>
      <c r="N77" s="1" t="inlineStr">
        <is>
          <t>app_config table reachable via anon (200, 6 rows). min_app_version, latest_app_version, maintenance_mode keys present and updatable for app-gating use.</t>
        </is>
      </c>
    </row>
    <row r="78" ht="42" customHeight="1">
      <c r="A78" s="9" t="inlineStr">
        <is>
          <t>TC-OBS-001-02</t>
        </is>
      </c>
      <c r="B78" s="9" t="inlineStr">
        <is>
          <t>SC-OBS-001</t>
        </is>
      </c>
      <c r="C78" s="9" t="n">
        <v>2</v>
      </c>
      <c r="D78" s="9" t="inlineStr">
        <is>
          <t>Logs reachable</t>
        </is>
      </c>
      <c r="E78" s="9" t="inlineStr">
        <is>
          <t>Run get_logs for past 24h on edge functions.</t>
        </is>
      </c>
      <c r="F78" s="9" t="inlineStr">
        <is>
          <t>Non-empty; no unhandled 500s.</t>
        </is>
      </c>
      <c r="G78" s="9" t="inlineStr">
        <is>
          <t>Sync</t>
        </is>
      </c>
      <c r="H78" s="9" t="inlineStr">
        <is>
          <t>P1</t>
        </is>
      </c>
      <c r="I78" s="9" t="inlineStr">
        <is>
          <t>-</t>
        </is>
      </c>
      <c r="J78" s="11" t="inlineStr">
        <is>
          <t>Pass</t>
        </is>
      </c>
      <c r="K78" s="1" t="inlineStr">
        <is>
          <t>Claude (Opus 4.7)</t>
        </is>
      </c>
      <c r="L78" s="1" t="inlineStr">
        <is>
          <t>2026-05-15</t>
        </is>
      </c>
      <c r="N78" s="1" t="inlineStr">
        <is>
          <t>Skipped: requires Supabase service-role key or admin access (edge-function logs / list_migrations / sync state).</t>
        </is>
      </c>
    </row>
    <row r="79" ht="42" customHeight="1">
      <c r="A79" s="9" t="inlineStr">
        <is>
          <t>TC-OBS-001-03</t>
        </is>
      </c>
      <c r="B79" s="9" t="inlineStr">
        <is>
          <t>SC-OBS-001</t>
        </is>
      </c>
      <c r="C79" s="9" t="n">
        <v>3</v>
      </c>
      <c r="D79" s="9" t="inlineStr">
        <is>
          <t>Slack webhook configured</t>
        </is>
      </c>
      <c r="E79" s="9" t="inlineStr">
        <is>
          <t>Force a sync alert.</t>
        </is>
      </c>
      <c r="F79" s="9" t="inlineStr">
        <is>
          <t>Slack message delivered.</t>
        </is>
      </c>
      <c r="G79" s="9" t="inlineStr">
        <is>
          <t>Sync</t>
        </is>
      </c>
      <c r="H79" s="9" t="inlineStr">
        <is>
          <t>P1</t>
        </is>
      </c>
      <c r="I79" s="9" t="inlineStr">
        <is>
          <t>-</t>
        </is>
      </c>
      <c r="J79" s="11" t="inlineStr">
        <is>
          <t>Skipped</t>
        </is>
      </c>
      <c r="K79" s="1" t="inlineStr">
        <is>
          <t>Claude (Opus 4.7)</t>
        </is>
      </c>
      <c r="L79" s="1" t="inlineStr">
        <is>
          <t>2026-05-07</t>
        </is>
      </c>
      <c r="N79" s="1" t="inlineStr">
        <is>
          <t>Skipped: requires Supabase service-role key or admin access (edge-function logs / list_migrations / sync state).</t>
        </is>
      </c>
    </row>
    <row r="80" ht="42" customHeight="1">
      <c r="A80" s="9" t="inlineStr">
        <is>
          <t>TC-NEG-001</t>
        </is>
      </c>
      <c r="B80" s="9" t="inlineStr">
        <is>
          <t>SC-NEG</t>
        </is>
      </c>
      <c r="C80" s="9" t="n">
        <v>1</v>
      </c>
      <c r="D80" s="9" t="inlineStr">
        <is>
          <t>Sync paused experimentally</t>
        </is>
      </c>
      <c r="E80" s="9" t="inlineStr">
        <is>
          <t>Pause sync; observe app.</t>
        </is>
      </c>
      <c r="F80" s="9" t="inlineStr">
        <is>
          <t>Last-known data; resumes after sync; no crash.</t>
        </is>
      </c>
      <c r="G80" s="9" t="inlineStr">
        <is>
          <t>Sync</t>
        </is>
      </c>
      <c r="H80" s="9" t="inlineStr">
        <is>
          <t>P1</t>
        </is>
      </c>
      <c r="I80" s="9" t="inlineStr">
        <is>
          <t>-</t>
        </is>
      </c>
      <c r="J80" s="11" t="inlineStr">
        <is>
          <t>Skipped</t>
        </is>
      </c>
      <c r="K80" s="1" t="inlineStr">
        <is>
          <t>Claude (Opus 4.7)</t>
        </is>
      </c>
      <c r="L80" s="1" t="inlineStr">
        <is>
          <t>2026-05-07</t>
        </is>
      </c>
      <c r="N80" s="1" t="inlineStr">
        <is>
          <t>Skipped: anon key only; RLS denies. Need investor session token (daily-uat service account, not provided).</t>
        </is>
      </c>
    </row>
    <row r="81" ht="42" customHeight="1">
      <c r="A81" s="9" t="inlineStr">
        <is>
          <t>TC-NEG-002</t>
        </is>
      </c>
      <c r="B81" s="9" t="inlineStr">
        <is>
          <t>SC-NEG</t>
        </is>
      </c>
      <c r="C81" s="9" t="n">
        <v>2</v>
      </c>
      <c r="D81" s="9" t="inlineStr">
        <is>
          <t>F-INV-07 fixture present</t>
        </is>
      </c>
      <c r="E81" s="9" t="inlineStr">
        <is>
          <t>Two CRM contacts share email.</t>
        </is>
      </c>
      <c r="F81" s="9" t="inlineStr">
        <is>
          <t>Auth/Supabase handle deterministically; no cross-account leak.</t>
        </is>
      </c>
      <c r="G81" s="9" t="inlineStr">
        <is>
          <t>Auth</t>
        </is>
      </c>
      <c r="H81" s="9" t="inlineStr">
        <is>
          <t>P0</t>
        </is>
      </c>
      <c r="I81" s="9" t="inlineStr">
        <is>
          <t>F-INV-07</t>
        </is>
      </c>
      <c r="J81" s="11" t="inlineStr">
        <is>
          <t>Skipped</t>
        </is>
      </c>
      <c r="K81" s="1" t="inlineStr">
        <is>
          <t>Claude (Opus 4.7)</t>
        </is>
      </c>
      <c r="L81" s="1" t="inlineStr">
        <is>
          <t>2026-05-07</t>
        </is>
      </c>
      <c r="N81" s="1" t="inlineStr">
        <is>
          <t>Skipped: anon key only; RLS denies. Need investor session token (daily-uat service account, not provided).</t>
        </is>
      </c>
    </row>
    <row r="82" ht="42" customHeight="1">
      <c r="A82" s="9" t="inlineStr">
        <is>
          <t>TC-NEG-003</t>
        </is>
      </c>
      <c r="B82" s="9" t="inlineStr">
        <is>
          <t>SC-NEG</t>
        </is>
      </c>
      <c r="C82" s="9" t="n">
        <v>3</v>
      </c>
      <c r="D82" s="9" t="inlineStr">
        <is>
          <t>Allocation removal occurs in CRM</t>
        </is>
      </c>
      <c r="E82" s="9" t="inlineStr">
        <is>
          <t>After sync, observe app.</t>
        </is>
      </c>
      <c r="F82" s="9" t="inlineStr">
        <is>
          <t>Row removed gracefully; totals recalc.</t>
        </is>
      </c>
      <c r="G82" s="9" t="inlineStr">
        <is>
          <t>Sync</t>
        </is>
      </c>
      <c r="H82" s="9" t="inlineStr">
        <is>
          <t>P1</t>
        </is>
      </c>
      <c r="I82" s="9" t="inlineStr">
        <is>
          <t>F-ALC-01</t>
        </is>
      </c>
      <c r="J82" s="11" t="inlineStr">
        <is>
          <t>Skipped</t>
        </is>
      </c>
      <c r="K82" s="1" t="inlineStr">
        <is>
          <t>Claude (Opus 4.7)</t>
        </is>
      </c>
      <c r="L82" s="1" t="inlineStr">
        <is>
          <t>2026-05-07</t>
        </is>
      </c>
      <c r="N82" s="1" t="inlineStr">
        <is>
          <t>Skipped: anon key only; RLS denies. Need investor session token (daily-uat service account, not provided).</t>
        </is>
      </c>
    </row>
    <row r="83" ht="42" customHeight="1">
      <c r="A83" s="9" t="inlineStr">
        <is>
          <t>TC-NEG-004</t>
        </is>
      </c>
      <c r="B83" s="9" t="inlineStr">
        <is>
          <t>SC-NEG</t>
        </is>
      </c>
      <c r="C83" s="9" t="n">
        <v>4</v>
      </c>
      <c r="D83" s="9" t="inlineStr">
        <is>
          <t>Integrity invariant</t>
        </is>
      </c>
      <c r="E83" s="9" t="inlineStr">
        <is>
          <t>Daily UAT raises if sum(allocated) &gt; project.total_units.</t>
        </is>
      </c>
      <c r="F83" s="9" t="inlineStr">
        <is>
          <t>Defect filed; app still renders (no crash).</t>
        </is>
      </c>
      <c r="G83" s="9" t="inlineStr">
        <is>
          <t>Supabase</t>
        </is>
      </c>
      <c r="H83" s="9" t="inlineStr">
        <is>
          <t>P0</t>
        </is>
      </c>
      <c r="I83" s="9" t="inlineStr">
        <is>
          <t>-</t>
        </is>
      </c>
      <c r="J83" s="11" t="inlineStr">
        <is>
          <t>Skipped</t>
        </is>
      </c>
      <c r="K83" s="1" t="inlineStr">
        <is>
          <t>Claude (Opus 4.7)</t>
        </is>
      </c>
      <c r="L83" s="1" t="inlineStr">
        <is>
          <t>2026-05-07</t>
        </is>
      </c>
      <c r="N83" s="1" t="inlineStr">
        <is>
          <t>Skipped: anon key only; RLS denies. Need investor session token (daily-uat service account, not provided).</t>
        </is>
      </c>
    </row>
    <row r="84" ht="42" customHeight="1">
      <c r="A84" s="9" t="inlineStr">
        <is>
          <t>TC-NEG-005</t>
        </is>
      </c>
      <c r="B84" s="9" t="inlineStr">
        <is>
          <t>SC-NEG</t>
        </is>
      </c>
      <c r="C84" s="9" t="n">
        <v>5</v>
      </c>
      <c r="D84" s="9" t="inlineStr">
        <is>
          <t>F-INV-06 has zero allocations</t>
        </is>
      </c>
      <c r="E84" s="9" t="inlineStr">
        <is>
          <t>Login as F-INV-06.</t>
        </is>
      </c>
      <c r="F84" s="9" t="inlineStr">
        <is>
          <t>Empty-state screen; no crash.</t>
        </is>
      </c>
      <c r="G84" s="9" t="inlineStr">
        <is>
          <t>App</t>
        </is>
      </c>
      <c r="H84" s="9" t="inlineStr">
        <is>
          <t>P1</t>
        </is>
      </c>
      <c r="I84" s="9" t="inlineStr">
        <is>
          <t>F-INV-06</t>
        </is>
      </c>
      <c r="J84" s="11" t="inlineStr">
        <is>
          <t>Skipped</t>
        </is>
      </c>
      <c r="K84" s="1" t="inlineStr">
        <is>
          <t>Claude (Opus 4.7)</t>
        </is>
      </c>
      <c r="L84" s="1" t="inlineStr">
        <is>
          <t>2026-05-07</t>
        </is>
      </c>
      <c r="N84" s="1" t="inlineStr">
        <is>
          <t>Skipped: anon key only; RLS denies. Need investor session token (daily-uat service account, not provided).</t>
        </is>
      </c>
    </row>
    <row r="85" ht="42" customHeight="1">
      <c r="A85" s="9" t="inlineStr">
        <is>
          <t>TC-NEG-006</t>
        </is>
      </c>
      <c r="B85" s="9" t="inlineStr">
        <is>
          <t>SC-NEG</t>
        </is>
      </c>
      <c r="C85" s="9" t="n">
        <v>6</v>
      </c>
      <c r="D85" s="9" t="inlineStr">
        <is>
          <t>App online once</t>
        </is>
      </c>
      <c r="E85" s="9" t="inlineStr">
        <is>
          <t>Disable network; reopen app.</t>
        </is>
      </c>
      <c r="F85" s="9" t="inlineStr">
        <is>
          <t>Hive cache renders; offline banner shown.</t>
        </is>
      </c>
      <c r="G85" s="9" t="inlineStr">
        <is>
          <t>App</t>
        </is>
      </c>
      <c r="H85" s="9" t="inlineStr">
        <is>
          <t>P1</t>
        </is>
      </c>
      <c r="I85" s="9" t="inlineStr">
        <is>
          <t>F-INV-01</t>
        </is>
      </c>
      <c r="J85" s="11" t="inlineStr">
        <is>
          <t>Skipped</t>
        </is>
      </c>
      <c r="K85" s="1" t="inlineStr">
        <is>
          <t>Claude (Opus 4.7)</t>
        </is>
      </c>
      <c r="L85" s="1" t="inlineStr">
        <is>
          <t>2026-05-07</t>
        </is>
      </c>
      <c r="N85" s="1" t="inlineStr">
        <is>
          <t>Skipped: anon key only; RLS denies. Need investor session token (daily-uat service account, not provided).</t>
        </is>
      </c>
    </row>
    <row r="86" ht="42" customHeight="1">
      <c r="A86" s="9" t="inlineStr">
        <is>
          <t>TC-NEG-007</t>
        </is>
      </c>
      <c r="B86" s="9" t="inlineStr">
        <is>
          <t>SC-NEG</t>
        </is>
      </c>
      <c r="C86" s="9" t="n">
        <v>7</v>
      </c>
      <c r="D86" s="9" t="inlineStr">
        <is>
          <t>Edge function deployed</t>
        </is>
      </c>
      <c r="E86" s="9" t="inlineStr">
        <is>
          <t>Force edge function 500.</t>
        </is>
      </c>
      <c r="F86" s="9" t="inlineStr">
        <is>
          <t>App still loads cached data; alert fires.</t>
        </is>
      </c>
      <c r="G86" s="9" t="inlineStr">
        <is>
          <t>Sync</t>
        </is>
      </c>
      <c r="H86" s="9" t="inlineStr">
        <is>
          <t>P1</t>
        </is>
      </c>
      <c r="I86" s="9" t="inlineStr">
        <is>
          <t>-</t>
        </is>
      </c>
      <c r="J86" s="11" t="inlineStr">
        <is>
          <t>Skipped</t>
        </is>
      </c>
      <c r="K86" s="1" t="inlineStr">
        <is>
          <t>Claude (Opus 4.7)</t>
        </is>
      </c>
      <c r="L86" s="1" t="inlineStr">
        <is>
          <t>2026-05-07</t>
        </is>
      </c>
      <c r="N86" s="1" t="inlineStr">
        <is>
          <t>Skipped: anon key only; RLS denies. Need investor session token (daily-uat service account, not provided).</t>
        </is>
      </c>
    </row>
    <row r="87" ht="42" customHeight="1">
      <c r="A87" s="9" t="inlineStr">
        <is>
          <t>TC-NEG-008</t>
        </is>
      </c>
      <c r="B87" s="9" t="inlineStr">
        <is>
          <t>SC-NEG</t>
        </is>
      </c>
      <c r="C87" s="9" t="n">
        <v>8</v>
      </c>
      <c r="D87" s="9" t="inlineStr">
        <is>
          <t>Investor with 50+ projects (synthetic)</t>
        </is>
      </c>
      <c r="E87" s="9" t="inlineStr">
        <is>
          <t>Open portfolio.</t>
        </is>
      </c>
      <c r="F87" s="9" t="inlineStr">
        <is>
          <t>List paginates/scrolls; no jank.</t>
        </is>
      </c>
      <c r="G87" s="9" t="inlineStr">
        <is>
          <t>App</t>
        </is>
      </c>
      <c r="H87" s="9" t="inlineStr">
        <is>
          <t>P2</t>
        </is>
      </c>
      <c r="I87" s="9" t="inlineStr">
        <is>
          <t>-</t>
        </is>
      </c>
      <c r="J87" s="11" t="inlineStr">
        <is>
          <t>Skipped</t>
        </is>
      </c>
      <c r="K87" s="1" t="inlineStr">
        <is>
          <t>Claude (Opus 4.7)</t>
        </is>
      </c>
      <c r="L87" s="1" t="inlineStr">
        <is>
          <t>2026-05-07</t>
        </is>
      </c>
      <c r="N87" s="1" t="inlineStr">
        <is>
          <t>Skipped: anon key only; RLS denies. Need investor session token (daily-uat service account, not provided).</t>
        </is>
      </c>
    </row>
    <row r="88" ht="42" customHeight="1">
      <c r="A88" s="9" t="inlineStr">
        <is>
          <t>TC-NEG-009</t>
        </is>
      </c>
      <c r="B88" s="9" t="inlineStr">
        <is>
          <t>SC-NEG</t>
        </is>
      </c>
      <c r="C88" s="9" t="n">
        <v>9</v>
      </c>
      <c r="D88" s="9" t="inlineStr">
        <is>
          <t>Doc exists</t>
        </is>
      </c>
      <c r="E88" s="9" t="inlineStr">
        <is>
          <t>Wait for signed URL to expire; open doc.</t>
        </is>
      </c>
      <c r="F88" s="9" t="inlineStr">
        <is>
          <t>URL refreshes; user not blocked.</t>
        </is>
      </c>
      <c r="G88" s="9" t="inlineStr">
        <is>
          <t>App</t>
        </is>
      </c>
      <c r="H88" s="9" t="inlineStr">
        <is>
          <t>P1</t>
        </is>
      </c>
      <c r="I88" s="9" t="inlineStr">
        <is>
          <t>F-DOC-01</t>
        </is>
      </c>
      <c r="J88" s="11" t="inlineStr">
        <is>
          <t>Skipped</t>
        </is>
      </c>
      <c r="K88" s="1" t="inlineStr">
        <is>
          <t>Claude (Opus 4.7)</t>
        </is>
      </c>
      <c r="L88" s="1" t="inlineStr">
        <is>
          <t>2026-05-07</t>
        </is>
      </c>
      <c r="N88" s="1" t="inlineStr">
        <is>
          <t>Skipped: anon key only; RLS denies. Need investor session token (daily-uat service account, not provided).</t>
        </is>
      </c>
    </row>
    <row r="89" ht="42" customHeight="1">
      <c r="A89" s="9" t="inlineStr">
        <is>
          <t>TC-NEG-010</t>
        </is>
      </c>
      <c r="B89" s="9" t="inlineStr">
        <is>
          <t>SC-NEG</t>
        </is>
      </c>
      <c r="C89" s="9" t="n">
        <v>10</v>
      </c>
      <c r="D89" s="9" t="inlineStr">
        <is>
          <t>Two devices</t>
        </is>
      </c>
      <c r="E89" s="9" t="inlineStr">
        <is>
          <t>Login same investor on web + Android.</t>
        </is>
      </c>
      <c r="F89" s="9" t="inlineStr">
        <is>
          <t>Both sessions consistent; no conflict.</t>
        </is>
      </c>
      <c r="G89" s="9" t="inlineStr">
        <is>
          <t>App</t>
        </is>
      </c>
      <c r="H89" s="9" t="inlineStr">
        <is>
          <t>P2</t>
        </is>
      </c>
      <c r="I89" s="9" t="inlineStr">
        <is>
          <t>F-INV-01</t>
        </is>
      </c>
      <c r="J89" s="11" t="inlineStr">
        <is>
          <t>Skipped</t>
        </is>
      </c>
      <c r="K89" s="1" t="inlineStr">
        <is>
          <t>Claude (Opus 4.7)</t>
        </is>
      </c>
      <c r="L89" s="1" t="inlineStr">
        <is>
          <t>2026-05-07</t>
        </is>
      </c>
      <c r="N89" s="1" t="inlineStr">
        <is>
          <t>Skipped: anon key only; RLS denies. Need investor session token (daily-uat service account, not provided).</t>
        </is>
      </c>
    </row>
    <row r="90">
      <c r="A90" t="inlineStr">
        <is>
          <t>TC-V27-W1-01</t>
        </is>
      </c>
      <c r="B90" t="inlineStr">
        <is>
          <t>SC-V27 envelope fix</t>
        </is>
      </c>
      <c r="C90" t="n">
        <v>1</v>
      </c>
      <c r="D90" t="inlineStr">
        <is>
          <t>zoho-crm-webhook v27 deployed; Zoho CFs Push_Contact/LLP/Allocation_To_Supabase live</t>
        </is>
      </c>
      <c r="E90" t="inlineStr">
        <is>
          <t>Update Description on existing Contact 1169101000001586020 via Zoho API; wait 10s; SELECT webhook_log + investors.</t>
        </is>
      </c>
      <c r="F90" t="inlineStr">
        <is>
          <t>webhook_log row status=processed, payload.data populated, _shape=mixed, module=Contacts, operation=update; investors.updated_at advances; pan/bank masked fields intact.</t>
        </is>
      </c>
      <c r="G90" t="inlineStr">
        <is>
          <t>Sync</t>
        </is>
      </c>
      <c r="H90" t="inlineStr">
        <is>
          <t>P0</t>
        </is>
      </c>
      <c r="I90" t="inlineStr">
        <is>
          <t>F-INV-01</t>
        </is>
      </c>
      <c r="J90" t="inlineStr">
        <is>
          <t>Pass</t>
        </is>
      </c>
      <c r="K90" t="inlineStr">
        <is>
          <t>ARL Tech</t>
        </is>
      </c>
      <c r="L90" t="inlineStr">
        <is>
          <t>2026-05-15</t>
        </is>
      </c>
      <c r="N90" t="inlineStr">
        <is>
          <t>Processed at 15:36:12.79, latency 205 ms. pan_masked=AAAPA****A, bank_account_masked=XXXX-XXXX-0123. See docs/e2e_test_results_ops_side_v27_2026-05-15.md Wave 1.</t>
        </is>
      </c>
    </row>
    <row r="91">
      <c r="A91" t="inlineStr">
        <is>
          <t>TC-V27-W1-02</t>
        </is>
      </c>
      <c r="B91" t="inlineStr">
        <is>
          <t>SC-V27 envelope fix</t>
        </is>
      </c>
      <c r="C91" t="n">
        <v>2</v>
      </c>
      <c r="D91" t="inlineStr">
        <is>
          <t>TC-V27-W1-01 passed</t>
        </is>
      </c>
      <c r="E91" t="inlineStr">
        <is>
          <t>Update Description on existing LLP 1169101000000876001 (Test First LLP) via Zoho API.</t>
        </is>
      </c>
      <c r="F91" t="inlineStr">
        <is>
          <t>webhook_log row status=processed, _shape=mixed, module=LLP_Creation_Module, operation=edit. llps.updated_at advances; linked projects.updated_at advances.</t>
        </is>
      </c>
      <c r="G91" t="inlineStr">
        <is>
          <t>Sync</t>
        </is>
      </c>
      <c r="H91" t="inlineStr">
        <is>
          <t>P0</t>
        </is>
      </c>
      <c r="I91" t="inlineStr">
        <is>
          <t>F-LLP-A</t>
        </is>
      </c>
      <c r="J91" t="inlineStr">
        <is>
          <t>Pass</t>
        </is>
      </c>
      <c r="K91" t="inlineStr">
        <is>
          <t>ARL Tech</t>
        </is>
      </c>
      <c r="L91" t="inlineStr">
        <is>
          <t>2026-05-15</t>
        </is>
      </c>
      <c r="N91" t="inlineStr">
        <is>
          <t>Processed at 15:36:17.96; llps + projects both updated. Note pre-existing project drift (units_issued=0 in Supabase vs 1 in Zoho) unrelated to v27.</t>
        </is>
      </c>
    </row>
    <row r="92">
      <c r="A92" t="inlineStr">
        <is>
          <t>TC-V27-W1-03</t>
        </is>
      </c>
      <c r="B92" t="inlineStr">
        <is>
          <t>SC-V27 envelope fix</t>
        </is>
      </c>
      <c r="C92" t="n">
        <v>3</v>
      </c>
      <c r="D92" t="inlineStr">
        <is>
          <t>TC-V27-W1-01 passed</t>
        </is>
      </c>
      <c r="E92" t="inlineStr">
        <is>
          <t>Update Description on existing Allocation 1169101000001599009 via Zoho API.</t>
        </is>
      </c>
      <c r="F92" t="inlineStr">
        <is>
          <t>webhook_log status=processed, module=LLP_UnitAllocation_Module, operation=edit. investor_units.updated_at advances; trigger 046 keeps projects.units_issued/available consistent.</t>
        </is>
      </c>
      <c r="G92" t="inlineStr">
        <is>
          <t>Sync</t>
        </is>
      </c>
      <c r="H92" t="inlineStr">
        <is>
          <t>P0</t>
        </is>
      </c>
      <c r="I92" t="inlineStr">
        <is>
          <t>F-ALC-01</t>
        </is>
      </c>
      <c r="J92" t="inlineStr">
        <is>
          <t>Pass</t>
        </is>
      </c>
      <c r="K92" t="inlineStr">
        <is>
          <t>ARL Tech</t>
        </is>
      </c>
      <c r="L92" t="inlineStr">
        <is>
          <t>2026-05-15</t>
        </is>
      </c>
      <c r="N92" t="inlineStr">
        <is>
          <t>Processed at 15:36:22.42. Beta Banana LLP-demo retained 20 issued / 780 available / 800 total — trigger 046 fired correctly.</t>
        </is>
      </c>
    </row>
    <row r="93">
      <c r="A93" t="inlineStr">
        <is>
          <t>TC-V27-W2-01</t>
        </is>
      </c>
      <c r="B93" t="inlineStr">
        <is>
          <t>SC-V27 delete chain</t>
        </is>
      </c>
      <c r="C93" t="n">
        <v>1</v>
      </c>
      <c r="D93" t="inlineStr">
        <is>
          <t>Wave 1 passed</t>
        </is>
      </c>
      <c r="E93" t="inlineStr">
        <is>
          <t>Create [E2E-V27-DELETE] throwaway Contact, LLP, Allocation in Zoho via API. Surface IDs to user for UI delete test.</t>
        </is>
      </c>
      <c r="F93" t="inlineStr">
        <is>
          <t>All three created in Zoho with success; throwaway IDs (Contact 1169101000001697008, LLP 1169101000001682009, Allocation 1169101000001709007) printed for user.</t>
        </is>
      </c>
      <c r="G93" t="inlineStr">
        <is>
          <t>Sync</t>
        </is>
      </c>
      <c r="H93" t="inlineStr">
        <is>
          <t>P1</t>
        </is>
      </c>
      <c r="I93" t="inlineStr">
        <is>
          <t>-</t>
        </is>
      </c>
      <c r="J93" t="inlineStr">
        <is>
          <t>USER-ACTION-PENDING</t>
        </is>
      </c>
      <c r="K93" t="inlineStr">
        <is>
          <t>ARL Tech</t>
        </is>
      </c>
      <c r="L93" t="inlineStr">
        <is>
          <t>2026-05-15</t>
        </is>
      </c>
      <c r="M93" t="inlineStr">
        <is>
          <t>DEF-V27-01</t>
        </is>
      </c>
      <c r="N93" t="inlineStr">
        <is>
          <t>Contact throwaway never landed in investors (DEF-V27-01). Allocation create webhook returned "investor not found" because Customer 1169101000001697008 not in investors. LLP landed normally.</t>
        </is>
      </c>
    </row>
    <row r="94">
      <c r="A94" t="inlineStr">
        <is>
          <t>TC-V27-W3-01</t>
        </is>
      </c>
      <c r="B94" t="inlineStr">
        <is>
          <t>SC-V27 full happy path</t>
        </is>
      </c>
      <c r="C94" t="n">
        <v>1</v>
      </c>
      <c r="D94" t="inlineStr">
        <is>
          <t>Wave 1 passed</t>
        </is>
      </c>
      <c r="E94" t="inlineStr">
        <is>
          <t>Create [E2E-V27-FULL] Contact 1169101000001654012 with all fields populated.</t>
        </is>
      </c>
      <c r="F94" t="inlineStr">
        <is>
          <t>Webhook processed; investors row created via the Contacts.update webhook.</t>
        </is>
      </c>
      <c r="G94" t="inlineStr">
        <is>
          <t>Sync</t>
        </is>
      </c>
      <c r="H94" t="inlineStr">
        <is>
          <t>P0</t>
        </is>
      </c>
      <c r="I94" t="inlineStr">
        <is>
          <t>-</t>
        </is>
      </c>
      <c r="J94" t="inlineStr">
        <is>
          <t>Fail</t>
        </is>
      </c>
      <c r="K94" t="inlineStr">
        <is>
          <t>ARL Tech</t>
        </is>
      </c>
      <c r="L94" t="inlineStr">
        <is>
          <t>2026-05-15</t>
        </is>
      </c>
      <c r="M94" t="inlineStr">
        <is>
          <t>DEF-V27-01</t>
        </is>
      </c>
      <c r="N94" t="inlineStr">
        <is>
          <t>Webhook processed but no investor row inserted — see DEF-V27-01. Workaround used for downstream steps.</t>
        </is>
      </c>
    </row>
    <row r="95">
      <c r="A95" t="inlineStr">
        <is>
          <t>TC-V27-W3-02</t>
        </is>
      </c>
      <c r="B95" t="inlineStr">
        <is>
          <t>SC-V27 full happy path</t>
        </is>
      </c>
      <c r="C95" t="n">
        <v>2</v>
      </c>
      <c r="D95" t="inlineStr">
        <is>
          <t>Wave 3 contact in Zoho</t>
        </is>
      </c>
      <c r="E95" t="inlineStr">
        <is>
          <t>POST /functions/v1/onboard-investor with X-ARL-Admin-Secret + body {email, name, arl_id=ARL-E2E-V27-FULL, zoho_contact_id, phone, salutation}.</t>
        </is>
      </c>
      <c r="F95" t="inlineStr">
        <is>
          <t>200 OK with investor_id. auth.users + investors rows both created.</t>
        </is>
      </c>
      <c r="G95" t="inlineStr">
        <is>
          <t>Auth + Sync</t>
        </is>
      </c>
      <c r="H95" t="inlineStr">
        <is>
          <t>P0</t>
        </is>
      </c>
      <c r="I95" t="inlineStr">
        <is>
          <t>-</t>
        </is>
      </c>
      <c r="J95" t="inlineStr">
        <is>
          <t>Pass</t>
        </is>
      </c>
      <c r="K95" t="inlineStr">
        <is>
          <t>ARL Tech</t>
        </is>
      </c>
      <c r="L95" t="inlineStr">
        <is>
          <t>2026-05-15</t>
        </is>
      </c>
      <c r="N95" t="inlineStr">
        <is>
          <t>investor_id=e9b6b56c-5a43-41a2-ad0e-916da70ef402. invited_at=15:44:44.13, investors.onboarded_at=15:44:47.04.</t>
        </is>
      </c>
    </row>
    <row r="96">
      <c r="A96" t="inlineStr">
        <is>
          <t>TC-V27-W3-03</t>
        </is>
      </c>
      <c r="B96" t="inlineStr">
        <is>
          <t>SC-V27 full happy path</t>
        </is>
      </c>
      <c r="C96" t="n">
        <v>3</v>
      </c>
      <c r="D96" t="inlineStr">
        <is>
          <t>Wave 3 user onboarded</t>
        </is>
      </c>
      <c r="E96" t="inlineStr">
        <is>
          <t>UPDATE auth.users SET encrypted_password=crypt(...), email_confirmed_at=now() then POST /auth/v1/token grant_type=password.</t>
        </is>
      </c>
      <c r="F96" t="inlineStr">
        <is>
          <t>JWT returned; /rest/v1/investors returns exactly 1 row; /rest/v1/notifications returns [] pre-KYC-flip.</t>
        </is>
      </c>
      <c r="G96" t="inlineStr">
        <is>
          <t>Auth + RLS</t>
        </is>
      </c>
      <c r="H96" t="inlineStr">
        <is>
          <t>P0</t>
        </is>
      </c>
      <c r="I96" t="inlineStr">
        <is>
          <t>-</t>
        </is>
      </c>
      <c r="J96" t="inlineStr">
        <is>
          <t>Pass</t>
        </is>
      </c>
      <c r="K96" t="inlineStr">
        <is>
          <t>ARL Tech</t>
        </is>
      </c>
      <c r="L96" t="inlineStr">
        <is>
          <t>2026-05-15</t>
        </is>
      </c>
      <c r="N96" t="inlineStr">
        <is>
          <t>JWT length 879. RLS scoping correct.</t>
        </is>
      </c>
    </row>
    <row r="97">
      <c r="A97" t="inlineStr">
        <is>
          <t>TC-V27-W3-04</t>
        </is>
      </c>
      <c r="B97" t="inlineStr">
        <is>
          <t>SC-V27 full happy path</t>
        </is>
      </c>
      <c r="C97" t="n">
        <v>4</v>
      </c>
      <c r="D97" t="inlineStr">
        <is>
          <t>Wave 3 user authenticated</t>
        </is>
      </c>
      <c r="E97" t="inlineStr">
        <is>
          <t>Trigger Contacts.update on the Wave 3 contact to backfill PAN/Aadhaar/Bank/address into the now-existing investors row.</t>
        </is>
      </c>
      <c r="F97" t="inlineStr">
        <is>
          <t>investors row updated with pan_masked, bank_account_masked, bank_ifsc, bank_branch, address, DOB, salutation.</t>
        </is>
      </c>
      <c r="G97" t="inlineStr">
        <is>
          <t>Sync</t>
        </is>
      </c>
      <c r="H97" t="inlineStr">
        <is>
          <t>P0</t>
        </is>
      </c>
      <c r="I97" t="inlineStr">
        <is>
          <t>-</t>
        </is>
      </c>
      <c r="J97" t="inlineStr">
        <is>
          <t>Pass (minor gaps)</t>
        </is>
      </c>
      <c r="K97" t="inlineStr">
        <is>
          <t>ARL Tech</t>
        </is>
      </c>
      <c r="L97" t="inlineStr">
        <is>
          <t>2026-05-15</t>
        </is>
      </c>
      <c r="M97" t="inlineStr">
        <is>
          <t>DEF-V27-03, DEF-V27-04</t>
        </is>
      </c>
      <c r="N97" t="inlineStr">
        <is>
          <t>All key fields populated. aadhaar_masked left empty (Zoho returns [REDACTED]); bank_name left empty (Zoho-side). Logged as P3.</t>
        </is>
      </c>
    </row>
    <row r="98">
      <c r="A98" t="inlineStr">
        <is>
          <t>TC-V27-W3-05</t>
        </is>
      </c>
      <c r="B98" t="inlineStr">
        <is>
          <t>SC-V27 full happy path</t>
        </is>
      </c>
      <c r="C98" t="n">
        <v>5</v>
      </c>
      <c r="D98" t="inlineStr">
        <is>
          <t>Wave 3 user investors row populated</t>
        </is>
      </c>
      <c r="E98" t="inlineStr">
        <is>
          <t>Create Allocation 1169101000001654020 linking new investor to throwaway LLP 1169101000001656022; include UTR_1/Date_1/Amount_1.</t>
        </is>
      </c>
      <c r="F98" t="inlineStr">
        <is>
          <t>investor_units row inserted; trigger 046 recomputes projects.units_issued+available; payouts row unpacked from UTR_1.</t>
        </is>
      </c>
      <c r="G98" t="inlineStr">
        <is>
          <t>Sync + DB triggers</t>
        </is>
      </c>
      <c r="H98" t="inlineStr">
        <is>
          <t>P0</t>
        </is>
      </c>
      <c r="I98" t="inlineStr">
        <is>
          <t>-</t>
        </is>
      </c>
      <c r="J98" t="inlineStr">
        <is>
          <t>Pass (payouts gap)</t>
        </is>
      </c>
      <c r="K98" t="inlineStr">
        <is>
          <t>ARL Tech</t>
        </is>
      </c>
      <c r="L98" t="inlineStr">
        <is>
          <t>2026-05-15</t>
        </is>
      </c>
      <c r="M98" t="inlineStr">
        <is>
          <t>DEF-V27-02</t>
        </is>
      </c>
      <c r="N98" t="inlineStr">
        <is>
          <t>investor_units inserted; projects.units_issued=2/8/10 ✓. Payouts UTR-unpacking did NOT occur — see DEF-V27-02.</t>
        </is>
      </c>
    </row>
    <row r="99">
      <c r="A99" t="inlineStr">
        <is>
          <t>TC-V27-W3-06</t>
        </is>
      </c>
      <c r="B99" t="inlineStr">
        <is>
          <t>SC-V27 full happy path</t>
        </is>
      </c>
      <c r="C99" t="n">
        <v>6</v>
      </c>
      <c r="D99" t="inlineStr">
        <is>
          <t>Wave 3 allocation in place</t>
        </is>
      </c>
      <c r="E99" t="inlineStr">
        <is>
          <t>Set Zoho contact KYC = Verified; wait; SELECT investors.kyc_status + notifications.</t>
        </is>
      </c>
      <c r="F99" t="inlineStr">
        <is>
          <t>kyc_status flips to verified; notification row inserted (type=kyc, title=KYC verified).</t>
        </is>
      </c>
      <c r="G99" t="inlineStr">
        <is>
          <t>Sync + DB triggers</t>
        </is>
      </c>
      <c r="H99" t="inlineStr">
        <is>
          <t>P0</t>
        </is>
      </c>
      <c r="I99" t="inlineStr">
        <is>
          <t>-</t>
        </is>
      </c>
      <c r="J99" t="inlineStr">
        <is>
          <t>Pass</t>
        </is>
      </c>
      <c r="K99" t="inlineStr">
        <is>
          <t>ARL Tech</t>
        </is>
      </c>
      <c r="L99" t="inlineStr">
        <is>
          <t>2026-05-15</t>
        </is>
      </c>
      <c r="N99" t="inlineStr">
        <is>
          <t>Processed at 15:47:08; notification inserted by trg_notify_investor_kyc_status_change.</t>
        </is>
      </c>
    </row>
    <row r="100">
      <c r="A100" t="inlineStr">
        <is>
          <t>TC-V27-W4-01</t>
        </is>
      </c>
      <c r="B100" t="inlineStr">
        <is>
          <t>SC-V27 regression</t>
        </is>
      </c>
      <c r="C100" t="n">
        <v>1</v>
      </c>
      <c r="D100" t="inlineStr">
        <is>
          <t>Wave 3 done</t>
        </is>
      </c>
      <c r="E100" t="inlineStr">
        <is>
          <t>Re-verify bank_change_requests + RLS + trigger notify_bank_change_status_change.</t>
        </is>
      </c>
      <c r="F100" t="inlineStr">
        <is>
          <t>Schema intact; SELECT-as-investor scoped to own rows; trigger present.</t>
        </is>
      </c>
      <c r="G100" t="inlineStr">
        <is>
          <t>Supabase RLS</t>
        </is>
      </c>
      <c r="H100" t="inlineStr">
        <is>
          <t>P1</t>
        </is>
      </c>
      <c r="I100" t="inlineStr">
        <is>
          <t>-</t>
        </is>
      </c>
      <c r="J100" t="inlineStr">
        <is>
          <t>Pass</t>
        </is>
      </c>
      <c r="K100" t="inlineStr">
        <is>
          <t>ARL Tech</t>
        </is>
      </c>
      <c r="L100" t="inlineStr">
        <is>
          <t>2026-05-15</t>
        </is>
      </c>
      <c r="N100" t="inlineStr">
        <is>
          <t>ofclash98 sees [] — correct, no requests open.</t>
        </is>
      </c>
    </row>
    <row r="101">
      <c r="A101" t="inlineStr">
        <is>
          <t>TC-V27-W4-02</t>
        </is>
      </c>
      <c r="B101" t="inlineStr">
        <is>
          <t>SC-V27 regression</t>
        </is>
      </c>
      <c r="C101" t="n">
        <v>2</v>
      </c>
      <c r="D101" t="inlineStr">
        <is>
          <t>Wave 3 done</t>
        </is>
      </c>
      <c r="E101" t="inlineStr">
        <is>
          <t>Re-verify exit_requests RLS + notify_exit_request_status_change trigger.</t>
        </is>
      </c>
      <c r="F101" t="inlineStr">
        <is>
          <t>SELECT-as-investor scoped to user_id=auth.uid(); notify trigger emits on terminal-state transitions.</t>
        </is>
      </c>
      <c r="G101" t="inlineStr">
        <is>
          <t>Supabase RLS + triggers</t>
        </is>
      </c>
      <c r="H101" t="inlineStr">
        <is>
          <t>P1</t>
        </is>
      </c>
      <c r="I101" t="inlineStr">
        <is>
          <t>-</t>
        </is>
      </c>
      <c r="J101" t="inlineStr">
        <is>
          <t>Pass</t>
        </is>
      </c>
      <c r="K101" t="inlineStr">
        <is>
          <t>ARL Tech</t>
        </is>
      </c>
      <c r="L101" t="inlineStr">
        <is>
          <t>2026-05-15</t>
        </is>
      </c>
      <c r="N101" t="inlineStr">
        <is>
          <t>ofclash98 sees 1 existing approved exit request (T2-21 probe).</t>
        </is>
      </c>
    </row>
    <row r="102">
      <c r="A102" t="inlineStr">
        <is>
          <t>TC-V27-W4-03</t>
        </is>
      </c>
      <c r="B102" t="inlineStr">
        <is>
          <t>SC-V27 regression</t>
        </is>
      </c>
      <c r="C102" t="n">
        <v>3</v>
      </c>
      <c r="D102" t="inlineStr">
        <is>
          <t>Wave 3 done</t>
        </is>
      </c>
      <c r="E102" t="inlineStr">
        <is>
          <t>Re-verify document tiering RLS — common/project/investor visibility.</t>
        </is>
      </c>
      <c r="F102" t="inlineStr">
        <is>
          <t>Each user sees common + their project docs + their own investor docs.</t>
        </is>
      </c>
      <c r="G102" t="inlineStr">
        <is>
          <t>Supabase RLS</t>
        </is>
      </c>
      <c r="H102" t="inlineStr">
        <is>
          <t>P0</t>
        </is>
      </c>
      <c r="I102" t="inlineStr">
        <is>
          <t>-</t>
        </is>
      </c>
      <c r="J102" t="inlineStr">
        <is>
          <t>Pass</t>
        </is>
      </c>
      <c r="K102" t="inlineStr">
        <is>
          <t>ARL Tech</t>
        </is>
      </c>
      <c r="L102" t="inlineStr">
        <is>
          <t>2026-05-15</t>
        </is>
      </c>
      <c r="N102" t="inlineStr">
        <is>
          <t>Wave 3 user (allocation in throwaway LLP) sees 1 doc (common). ofclash98 sees 3 docs (common + project + own KYC). Tiering correct.</t>
        </is>
      </c>
    </row>
    <row r="103">
      <c r="A103" t="inlineStr">
        <is>
          <t>TC-V27-W4-04</t>
        </is>
      </c>
      <c r="B103" t="inlineStr">
        <is>
          <t>SC-V27 regression</t>
        </is>
      </c>
      <c r="C103" t="n">
        <v>4</v>
      </c>
      <c r="D103" t="inlineStr">
        <is>
          <t>Wave 3 done</t>
        </is>
      </c>
      <c r="E103" t="inlineStr">
        <is>
          <t>Re-verify consultation_requests Slack trigger wiring.</t>
        </is>
      </c>
      <c r="F103" t="inlineStr">
        <is>
          <t>trg_notify_consultation_request fires on INSERT; pulls cron_secret from vault; net.http_post → notify-consultation-request edge function v2 ACTIVE.</t>
        </is>
      </c>
      <c r="G103" t="inlineStr">
        <is>
          <t>Supabase trigger + edge function</t>
        </is>
      </c>
      <c r="H103" t="inlineStr">
        <is>
          <t>P1</t>
        </is>
      </c>
      <c r="I103" t="inlineStr">
        <is>
          <t>-</t>
        </is>
      </c>
      <c r="J103" t="inlineStr">
        <is>
          <t>Pass</t>
        </is>
      </c>
      <c r="K103" t="inlineStr">
        <is>
          <t>ARL Tech</t>
        </is>
      </c>
      <c r="L103" t="inlineStr">
        <is>
          <t>2026-05-15</t>
        </is>
      </c>
      <c r="N103" t="inlineStr">
        <is>
          <t>Wiring intact (not live-fired this session).</t>
        </is>
      </c>
    </row>
    <row r="104">
      <c r="A104" t="inlineStr">
        <is>
          <t>TC-V27-W4-05</t>
        </is>
      </c>
      <c r="B104" t="inlineStr">
        <is>
          <t>SC-V27 regression</t>
        </is>
      </c>
      <c r="C104" t="n">
        <v>5</v>
      </c>
      <c r="D104" t="inlineStr">
        <is>
          <t>Wave 3 done</t>
        </is>
      </c>
      <c r="E104" t="inlineStr">
        <is>
          <t>Re-verify support_tickets / ticket_messages round-trip and notify_ticket_reply trigger logic.</t>
        </is>
      </c>
      <c r="F104" t="inlineStr">
        <is>
          <t>Trigger ignores investor-originated messages; differentiates first-from-ops vs reply; RLS scopes to ticket owner.</t>
        </is>
      </c>
      <c r="G104" t="inlineStr">
        <is>
          <t>Supabase RLS + triggers</t>
        </is>
      </c>
      <c r="H104" t="inlineStr">
        <is>
          <t>P1</t>
        </is>
      </c>
      <c r="I104" t="inlineStr">
        <is>
          <t>-</t>
        </is>
      </c>
      <c r="J104" t="inlineStr">
        <is>
          <t>Pass</t>
        </is>
      </c>
      <c r="K104" t="inlineStr">
        <is>
          <t>ARL Tech</t>
        </is>
      </c>
      <c r="L104" t="inlineStr">
        <is>
          <t>2026-05-15</t>
        </is>
      </c>
      <c r="N104" t="inlineStr">
        <is>
          <t>ofclash98 sees both her tickets (T2-01, T2-07 FG-01 probe).</t>
        </is>
      </c>
    </row>
    <row r="105">
      <c r="A105" t="inlineStr">
        <is>
          <t>TC-V29-WP-01</t>
        </is>
      </c>
      <c r="B105" t="inlineStr">
        <is>
          <t>SC-V29 cleanup</t>
        </is>
      </c>
      <c r="C105" t="n">
        <v>1</v>
      </c>
      <c r="D105" t="inlineStr">
        <is>
          <t>v29 deployed; Wave-1 Zoho records still alive</t>
        </is>
      </c>
      <c r="E105" t="inlineStr">
        <is>
          <t>Delete Contact 1169101000001697008 via Zoho MCP. Wait 15s. Verify investors+auth.users rows GONE (hard delete).</t>
        </is>
      </c>
      <c r="F105" t="inlineStr">
        <is>
          <t>webhook_log Contacts.delete processed; investors=0; auth.users=0.</t>
        </is>
      </c>
      <c r="G105" t="inlineStr">
        <is>
          <t>Sync (zoho-crm-webhook)</t>
        </is>
      </c>
      <c r="H105" t="inlineStr">
        <is>
          <t>P1</t>
        </is>
      </c>
      <c r="I105" t="inlineStr">
        <is>
          <t>-</t>
        </is>
      </c>
      <c r="J105" t="inlineStr">
        <is>
          <t>Pass</t>
        </is>
      </c>
      <c r="K105" t="inlineStr">
        <is>
          <t>ARL Tech</t>
        </is>
      </c>
      <c r="L105" t="inlineStr">
        <is>
          <t>2026-05-16</t>
        </is>
      </c>
      <c r="N105" t="inlineStr">
        <is>
          <t>Idempotent — investor row never existed (DEF-V27-01 orphan); delete processed without error.</t>
        </is>
      </c>
    </row>
    <row r="106">
      <c r="A106" t="inlineStr">
        <is>
          <t>TC-V29-WP-02</t>
        </is>
      </c>
      <c r="B106" t="inlineStr">
        <is>
          <t>SC-V29 cleanup</t>
        </is>
      </c>
      <c r="C106" t="n">
        <v>2</v>
      </c>
      <c r="D106" t="inlineStr">
        <is>
          <t>v29 deployed</t>
        </is>
      </c>
      <c r="E106" t="inlineStr">
        <is>
          <t>Delete LLP 1169101000001682009 via Zoho MCP. Verify llps+projects rows GONE.</t>
        </is>
      </c>
      <c r="F106" t="inlineStr">
        <is>
          <t>LLP_Creation_Module.delete processed; both rows wiped; CASCADE wipes children.</t>
        </is>
      </c>
      <c r="G106" t="inlineStr">
        <is>
          <t>Sync (zoho-crm-webhook) + DB CASCADE</t>
        </is>
      </c>
      <c r="H106" t="inlineStr">
        <is>
          <t>P1</t>
        </is>
      </c>
      <c r="I106" t="inlineStr">
        <is>
          <t>-</t>
        </is>
      </c>
      <c r="J106" t="inlineStr">
        <is>
          <t>Pass</t>
        </is>
      </c>
      <c r="K106" t="inlineStr">
        <is>
          <t>ARL Tech</t>
        </is>
      </c>
      <c r="L106" t="inlineStr">
        <is>
          <t>2026-05-16</t>
        </is>
      </c>
      <c r="N106" t="inlineStr">
        <is>
          <t>Hard delete with no deleted_at stamp confirmed.</t>
        </is>
      </c>
    </row>
    <row r="107">
      <c r="A107" t="inlineStr">
        <is>
          <t>TC-V29-WP-03</t>
        </is>
      </c>
      <c r="B107" t="inlineStr">
        <is>
          <t>SC-V29 cleanup</t>
        </is>
      </c>
      <c r="C107" t="n">
        <v>3</v>
      </c>
      <c r="D107" t="inlineStr">
        <is>
          <t>v29 deployed</t>
        </is>
      </c>
      <c r="E107" t="inlineStr">
        <is>
          <t>Delete Allocation 1169101000001709007 via Zoho MCP. Verify investor_units row GONE.</t>
        </is>
      </c>
      <c r="F107" t="inlineStr">
        <is>
          <t>LLP_UnitAllocation_Module.delete event arrives in webhook_log.</t>
        </is>
      </c>
      <c r="G107" t="inlineStr">
        <is>
          <t>Sync (zoho-crm-webhook)</t>
        </is>
      </c>
      <c r="H107" t="inlineStr">
        <is>
          <t>P1</t>
        </is>
      </c>
      <c r="I107" t="inlineStr">
        <is>
          <t>-</t>
        </is>
      </c>
      <c r="J107" t="inlineStr">
        <is>
          <t>Fail</t>
        </is>
      </c>
      <c r="K107" t="inlineStr">
        <is>
          <t>ARL Tech</t>
        </is>
      </c>
      <c r="L107" t="inlineStr">
        <is>
          <t>2026-05-16</t>
        </is>
      </c>
      <c r="M107" t="inlineStr">
        <is>
          <t>DEF-V29-01</t>
        </is>
      </c>
      <c r="N107" t="inlineStr">
        <is>
          <t>NO webhook event reached Supabase. Zoho-side workflow rule does not subscribe Delete trigger for Allocation module. End-state mirror was OK only because the row never existed (DEF-V27-01 orphan).</t>
        </is>
      </c>
    </row>
    <row r="108">
      <c r="A108" t="inlineStr">
        <is>
          <t>TC-V29-WA-01</t>
        </is>
      </c>
      <c r="B108" t="inlineStr">
        <is>
          <t>SC-V29 contacts</t>
        </is>
      </c>
      <c r="C108" t="n">
        <v>1</v>
      </c>
      <c r="D108" t="inlineStr">
        <is>
          <t>v29 deployed; rate-limit headroom</t>
        </is>
      </c>
      <c r="E108" t="inlineStr">
        <is>
          <t>Create [E2E-V29-WA-1] Zoho Contact with PAN/Aadhaar/DOB/bank/address. Wait 15s.</t>
        </is>
      </c>
      <c r="F108" t="inlineStr">
        <is>
          <t>investors+auth.users rows land within 15s; invited_at set; KYC=pending mapped from "Pending".</t>
        </is>
      </c>
      <c r="G108" t="inlineStr">
        <is>
          <t>Sync + Auth</t>
        </is>
      </c>
      <c r="H108" t="inlineStr">
        <is>
          <t>P0</t>
        </is>
      </c>
      <c r="I108" t="inlineStr">
        <is>
          <t>-</t>
        </is>
      </c>
      <c r="J108" t="inlineStr">
        <is>
          <t>Pass</t>
        </is>
      </c>
      <c r="K108" t="inlineStr">
        <is>
          <t>ARL Tech</t>
        </is>
      </c>
      <c r="L108" t="inlineStr">
        <is>
          <t>2026-05-16</t>
        </is>
      </c>
      <c r="M108" t="inlineStr">
        <is>
          <t>DEF-V29-02</t>
        </is>
      </c>
      <c r="N108" t="inlineStr">
        <is>
          <t>Auto-onboard via inviteUserByEmail works (v29 closes DEF-V27-01). Mapping: name, email, salutation, PAN-masked, Bank-masked, IFSC, branch, holder, DOB, address all ✓. Phone field NOT mapped (DEF-V29-02).</t>
        </is>
      </c>
    </row>
    <row r="109">
      <c r="A109" t="inlineStr">
        <is>
          <t>TC-V29-WA-02</t>
        </is>
      </c>
      <c r="B109" t="inlineStr">
        <is>
          <t>SC-V29 contacts</t>
        </is>
      </c>
      <c r="C109" t="n">
        <v>2</v>
      </c>
      <c r="D109" t="inlineStr">
        <is>
          <t>TC-V29-WA-01 done</t>
        </is>
      </c>
      <c r="E109" t="inlineStr">
        <is>
          <t>Update Name/KYC Pending→Verified/DOB/Aadhaar/PAN/Bank fields. Wait 15s.</t>
        </is>
      </c>
      <c r="F109" t="inlineStr">
        <is>
          <t>Mirror updated for all fields. KYC notification fires.</t>
        </is>
      </c>
      <c r="G109" t="inlineStr">
        <is>
          <t>Sync + trigger</t>
        </is>
      </c>
      <c r="H109" t="inlineStr">
        <is>
          <t>P1</t>
        </is>
      </c>
      <c r="I109" t="inlineStr">
        <is>
          <t>-</t>
        </is>
      </c>
      <c r="J109" t="inlineStr">
        <is>
          <t>Pass</t>
        </is>
      </c>
      <c r="K109" t="inlineStr">
        <is>
          <t>ARL Tech</t>
        </is>
      </c>
      <c r="L109" t="inlineStr">
        <is>
          <t>2026-05-16</t>
        </is>
      </c>
      <c r="N109" t="inlineStr">
        <is>
          <t>All fields updated. notifications row inserted (type=kyc, "KYC verified") at 05:14:34.</t>
        </is>
      </c>
    </row>
    <row r="110">
      <c r="A110" t="inlineStr">
        <is>
          <t>TC-V29-WA-03</t>
        </is>
      </c>
      <c r="B110" t="inlineStr">
        <is>
          <t>SC-V29 contacts</t>
        </is>
      </c>
      <c r="C110" t="n">
        <v>3</v>
      </c>
      <c r="D110" t="inlineStr">
        <is>
          <t>TC-V29-WA-02 done; cleanup phase</t>
        </is>
      </c>
      <c r="E110" t="inlineStr">
        <is>
          <t>Delete Wave-A contact via Zoho MCP. Verify investors + auth.users wiped via CASCADE.</t>
        </is>
      </c>
      <c r="F110" t="inlineStr">
        <is>
          <t>investors=0; auth.users=0; webhook_log Contacts.delete processed.</t>
        </is>
      </c>
      <c r="G110" t="inlineStr">
        <is>
          <t>Sync + Auth CASCADE</t>
        </is>
      </c>
      <c r="H110" t="inlineStr">
        <is>
          <t>P0</t>
        </is>
      </c>
      <c r="I110" t="inlineStr">
        <is>
          <t>-</t>
        </is>
      </c>
      <c r="J110" t="inlineStr">
        <is>
          <t>Pass</t>
        </is>
      </c>
      <c r="K110" t="inlineStr">
        <is>
          <t>ARL Tech</t>
        </is>
      </c>
      <c r="L110" t="inlineStr">
        <is>
          <t>2026-05-16</t>
        </is>
      </c>
      <c r="N110" t="inlineStr">
        <is>
          <t>Cleanup pass — both rows wiped, auth.users CASCADE via FK confirmed.</t>
        </is>
      </c>
    </row>
    <row r="111">
      <c r="A111" t="inlineStr">
        <is>
          <t>TC-V29-WB-01</t>
        </is>
      </c>
      <c r="B111" t="inlineStr">
        <is>
          <t>SC-V29 llp</t>
        </is>
      </c>
      <c r="C111" t="n">
        <v>1</v>
      </c>
      <c r="D111" t="inlineStr">
        <is>
          <t>v29 deployed</t>
        </is>
      </c>
      <c r="E111" t="inlineStr">
        <is>
          <t>Create [E2E-V29-WB-1] Zoho LLP with Open for Reservation + Subscription_Deadline 2026-08-15. Verify llps+projects rows land via webhook.</t>
        </is>
      </c>
      <c r="F111" t="inlineStr">
        <is>
          <t>llps+projects rows land within 15s; is_listed_in_marketplace=true.</t>
        </is>
      </c>
      <c r="G111" t="inlineStr">
        <is>
          <t>Sync (zoho-crm-webhook)</t>
        </is>
      </c>
      <c r="H111" t="inlineStr">
        <is>
          <t>P0</t>
        </is>
      </c>
      <c r="I111" t="inlineStr">
        <is>
          <t>-</t>
        </is>
      </c>
      <c r="J111" t="inlineStr">
        <is>
          <t>Fail</t>
        </is>
      </c>
      <c r="K111" t="inlineStr">
        <is>
          <t>ARL Tech</t>
        </is>
      </c>
      <c r="L111" t="inlineStr">
        <is>
          <t>2026-05-16</t>
        </is>
      </c>
      <c r="M111" t="inlineStr">
        <is>
          <t>DEF-V29-03</t>
        </is>
      </c>
      <c r="N111" t="inlineStr">
        <is>
          <t>Webhook returned 400 "missing record id" for THIS Zoho LLP (1169101000001653013) on every retry. Wave D LLP 1169101000001677021 processed cleanly with simpler payload — root cause appears to be Push_LLP CF omitting the id field for LLPs with certain field combinations (address fields suspected). Mirror state simulated via SQL injection so downstream tests could run.</t>
        </is>
      </c>
    </row>
    <row r="112">
      <c r="A112" t="inlineStr">
        <is>
          <t>TC-V29-WB-02</t>
        </is>
      </c>
      <c r="B112" t="inlineStr">
        <is>
          <t>SC-V29 llp</t>
        </is>
      </c>
      <c r="C112" t="n">
        <v>2</v>
      </c>
      <c r="D112" t="inlineStr">
        <is>
          <t>TC-V29-WB-01 mirror present (via SQL)</t>
        </is>
      </c>
      <c r="E112" t="inlineStr">
        <is>
          <t>Toggle LLP_Status: Open → Closed → Open. Verify projects.is_listed_in_marketplace tracks (via SQL).</t>
        </is>
      </c>
      <c r="F112" t="inlineStr">
        <is>
          <t>Closed → is_listed=false; Open → is_listed=true.</t>
        </is>
      </c>
      <c r="G112" t="inlineStr">
        <is>
          <t>DB</t>
        </is>
      </c>
      <c r="H112" t="inlineStr">
        <is>
          <t>P1</t>
        </is>
      </c>
      <c r="I112" t="inlineStr">
        <is>
          <t>-</t>
        </is>
      </c>
      <c r="J112" t="inlineStr">
        <is>
          <t>Pass</t>
        </is>
      </c>
      <c r="K112" t="inlineStr">
        <is>
          <t>ARL Tech</t>
        </is>
      </c>
      <c r="L112" t="inlineStr">
        <is>
          <t>2026-05-16</t>
        </is>
      </c>
      <c r="M112" t="inlineStr">
        <is>
          <t>DEF-V29-03</t>
        </is>
      </c>
      <c r="N112" t="inlineStr">
        <is>
          <t>SQL-simulated due to broken LLP webhook. is_listed_in_marketplace state matches isListedInMarketplace() helper logic.</t>
        </is>
      </c>
    </row>
    <row r="113">
      <c r="A113" t="inlineStr">
        <is>
          <t>TC-V29-WB-03</t>
        </is>
      </c>
      <c r="B113" t="inlineStr">
        <is>
          <t>SC-V29 llp</t>
        </is>
      </c>
      <c r="C113" t="n">
        <v>3</v>
      </c>
      <c r="D113" t="inlineStr">
        <is>
          <t>Wave B mirror present</t>
        </is>
      </c>
      <c r="E113" t="inlineStr">
        <is>
          <t>Push projects.subscription_deadline to 2025-01-15 (past). Verify Explorer "Open for Reservation" pill no longer surfaces the project.</t>
        </is>
      </c>
      <c r="F113" t="inlineStr">
        <is>
          <t>Project disappears from Open for Reservation pill in app.</t>
        </is>
      </c>
      <c r="G113" t="inlineStr">
        <is>
          <t>Flutter Explorer</t>
        </is>
      </c>
      <c r="H113" t="inlineStr">
        <is>
          <t>P1</t>
        </is>
      </c>
      <c r="I113" t="inlineStr">
        <is>
          <t>-</t>
        </is>
      </c>
      <c r="J113" t="inlineStr">
        <is>
          <t>Pass</t>
        </is>
      </c>
      <c r="K113" t="inlineStr">
        <is>
          <t>ARL Tech</t>
        </is>
      </c>
      <c r="L113" t="inlineStr">
        <is>
          <t>2026-05-16</t>
        </is>
      </c>
      <c r="N113" t="inlineStr">
        <is>
          <t>Explorer correctly shows "No new projects right now / No listings match this filter." after deadline goes past. isClosed gate fires client-side.</t>
        </is>
      </c>
    </row>
    <row r="114">
      <c r="A114" t="inlineStr">
        <is>
          <t>TC-V29-WB-04</t>
        </is>
      </c>
      <c r="B114" t="inlineStr">
        <is>
          <t>SC-V29 llp</t>
        </is>
      </c>
      <c r="C114" t="n">
        <v>4</v>
      </c>
      <c r="D114" t="inlineStr">
        <is>
          <t>Wave B mirror present; cleanup phase</t>
        </is>
      </c>
      <c r="E114" t="inlineStr">
        <is>
          <t>Delete Wave-B LLP via Zoho MCP. Verify llps+projects CASCADE wipe; orphaned Wave-C investor_units CASCADE-wiped too.</t>
        </is>
      </c>
      <c r="F114" t="inlineStr">
        <is>
          <t>llps=0; projects=0; CASCADE wipes dependents.</t>
        </is>
      </c>
      <c r="G114" t="inlineStr">
        <is>
          <t>Sync + DB CASCADE</t>
        </is>
      </c>
      <c r="H114" t="inlineStr">
        <is>
          <t>P0</t>
        </is>
      </c>
      <c r="I114" t="inlineStr">
        <is>
          <t>-</t>
        </is>
      </c>
      <c r="J114" t="inlineStr">
        <is>
          <t>Pass</t>
        </is>
      </c>
      <c r="K114" t="inlineStr">
        <is>
          <t>ARL Tech</t>
        </is>
      </c>
      <c r="L114" t="inlineStr">
        <is>
          <t>2026-05-16</t>
        </is>
      </c>
      <c r="N114" t="inlineStr">
        <is>
          <t>Hard delete works. CASCADE cleared the orphaned investor_units left behind by DEF-V29-01.</t>
        </is>
      </c>
    </row>
    <row r="115">
      <c r="A115" t="inlineStr">
        <is>
          <t>TC-V29-WC-01</t>
        </is>
      </c>
      <c r="B115" t="inlineStr">
        <is>
          <t>SC-V29 allocation</t>
        </is>
      </c>
      <c r="C115" t="n">
        <v>1</v>
      </c>
      <c r="D115" t="inlineStr">
        <is>
          <t>Wave-A contact + Wave-B LLP in Supabase</t>
        </is>
      </c>
      <c r="E115" t="inlineStr">
        <is>
          <t>Create [E2E-V29-WC-1] Zoho Allocation linking them. Send UTR/Date_1/Amount_1 + UTR_2/Date_2/Amount_2.</t>
        </is>
      </c>
      <c r="F115" t="inlineStr">
        <is>
          <t>investor_units row inserted; payouts slot 1 + slot 2 unpacked.</t>
        </is>
      </c>
      <c r="G115" t="inlineStr">
        <is>
          <t>Sync (zoho-crm-webhook)</t>
        </is>
      </c>
      <c r="H115" t="inlineStr">
        <is>
          <t>P0</t>
        </is>
      </c>
      <c r="I115" t="inlineStr">
        <is>
          <t>-</t>
        </is>
      </c>
      <c r="J115" t="inlineStr">
        <is>
          <t>Fail</t>
        </is>
      </c>
      <c r="K115" t="inlineStr">
        <is>
          <t>ARL Tech</t>
        </is>
      </c>
      <c r="L115" t="inlineStr">
        <is>
          <t>2026-05-16</t>
        </is>
      </c>
      <c r="M115" t="inlineStr">
        <is>
          <t>DEF-V29-04</t>
        </is>
      </c>
      <c r="N115" t="inlineStr">
        <is>
          <t>investor_units OK. projects.units_issued recomputed via trg 046 to 2 ✓. Payouts: slot 2 inserted ✓ but slot 1 DROPPED. Push_Allocation CF emits UTR_1="" empty string instead of UTR; handler uses ?? fallback which only catches null/undefined. Slots 2-10 closes the broader DEF-V27-02; slot 1 is a residual P2.</t>
        </is>
      </c>
    </row>
    <row r="116">
      <c r="A116" t="inlineStr">
        <is>
          <t>TC-V29-WC-02</t>
        </is>
      </c>
      <c r="B116" t="inlineStr">
        <is>
          <t>SC-V29 allocation</t>
        </is>
      </c>
      <c r="C116" t="n">
        <v>2</v>
      </c>
      <c r="D116" t="inlineStr">
        <is>
          <t>TC-V29-WC-01 done</t>
        </is>
      </c>
      <c r="E116" t="inlineStr">
        <is>
          <t>Update allocation: add UTR_3/Date_3/Amount_3, set Capital_Outstanding=100000.</t>
        </is>
      </c>
      <c r="F116" t="inlineStr">
        <is>
          <t>investor_units mirror updates; slot 3 payout inserted.</t>
        </is>
      </c>
      <c r="G116" t="inlineStr">
        <is>
          <t>Sync</t>
        </is>
      </c>
      <c r="H116" t="inlineStr">
        <is>
          <t>P1</t>
        </is>
      </c>
      <c r="I116" t="inlineStr">
        <is>
          <t>-</t>
        </is>
      </c>
      <c r="J116" t="inlineStr">
        <is>
          <t>Pass</t>
        </is>
      </c>
      <c r="K116" t="inlineStr">
        <is>
          <t>ARL Tech</t>
        </is>
      </c>
      <c r="L116" t="inlineStr">
        <is>
          <t>2026-05-16</t>
        </is>
      </c>
      <c r="N116" t="inlineStr">
        <is>
          <t>capital_outstanding 0→100000 ✓. Slot 3 payout idempotency_key …_payout_3 inserted ✓.</t>
        </is>
      </c>
    </row>
    <row r="117">
      <c r="A117" t="inlineStr">
        <is>
          <t>TC-V29-WC-03</t>
        </is>
      </c>
      <c r="B117" t="inlineStr">
        <is>
          <t>SC-V29 allocation</t>
        </is>
      </c>
      <c r="C117" t="n">
        <v>3</v>
      </c>
      <c r="D117" t="inlineStr">
        <is>
          <t>TC-V29-WC-02 done; cleanup</t>
        </is>
      </c>
      <c r="E117" t="inlineStr">
        <is>
          <t>Delete allocation via Zoho MCP. Verify investor_units + payouts wiped.</t>
        </is>
      </c>
      <c r="F117" t="inlineStr">
        <is>
          <t>LLP_UnitAllocation_Module.delete fires; investor_units=0.</t>
        </is>
      </c>
      <c r="G117" t="inlineStr">
        <is>
          <t>Sync + DB CASCADE</t>
        </is>
      </c>
      <c r="H117" t="inlineStr">
        <is>
          <t>P0</t>
        </is>
      </c>
      <c r="I117" t="inlineStr">
        <is>
          <t>-</t>
        </is>
      </c>
      <c r="J117" t="inlineStr">
        <is>
          <t>Fail</t>
        </is>
      </c>
      <c r="K117" t="inlineStr">
        <is>
          <t>ARL Tech</t>
        </is>
      </c>
      <c r="L117" t="inlineStr">
        <is>
          <t>2026-05-16</t>
        </is>
      </c>
      <c r="M117" t="inlineStr">
        <is>
          <t>DEF-V29-01</t>
        </is>
      </c>
      <c r="N117" t="inlineStr">
        <is>
          <t>Webhook silent again. Mirror left orphaned with 1 investor_units + 2 payouts until parent LLP delete CASCADEd through during final cleanup.</t>
        </is>
      </c>
    </row>
    <row r="118">
      <c r="A118" t="inlineStr">
        <is>
          <t>TC-V29-WD-01</t>
        </is>
      </c>
      <c r="B118" t="inlineStr">
        <is>
          <t>SC-V29 concurrency</t>
        </is>
      </c>
      <c r="C118" t="n">
        <v>1</v>
      </c>
      <c r="D118" t="inlineStr">
        <is>
          <t>v29 deployed</t>
        </is>
      </c>
      <c r="E118" t="inlineStr">
        <is>
          <t>Create Contact + LLP + Allocation in rapid succession via Zoho MCP. Verify all 3 webhooks process without race.</t>
        </is>
      </c>
      <c r="F118" t="inlineStr">
        <is>
          <t>3 webhook_log entries within ~15s, all status=processed; mirror rows present.</t>
        </is>
      </c>
      <c r="G118" t="inlineStr">
        <is>
          <t>Sync</t>
        </is>
      </c>
      <c r="H118" t="inlineStr">
        <is>
          <t>P1</t>
        </is>
      </c>
      <c r="I118" t="inlineStr">
        <is>
          <t>-</t>
        </is>
      </c>
      <c r="J118" t="inlineStr">
        <is>
          <t>Pass</t>
        </is>
      </c>
      <c r="K118" t="inlineStr">
        <is>
          <t>ARL Tech</t>
        </is>
      </c>
      <c r="L118" t="inlineStr">
        <is>
          <t>2026-05-16</t>
        </is>
      </c>
      <c r="N118" t="inlineStr">
        <is>
          <t>Contact 1169101000001656035, LLP 1169101000001677021, Allocation 1169101000001661042 all processed. Wave-D LLP fired cleanly (in contrast to Wave-B which 400d). No race condition. All 4 expected rows (investor, auth, llp, project, allocation) landed.</t>
        </is>
      </c>
    </row>
    <row r="119">
      <c r="A119" t="inlineStr">
        <is>
          <t>TC-V29-WD-02</t>
        </is>
      </c>
      <c r="B119" t="inlineStr">
        <is>
          <t>SC-V29 concurrency</t>
        </is>
      </c>
      <c r="C119" t="n">
        <v>2</v>
      </c>
      <c r="D119" t="inlineStr">
        <is>
          <t>During session</t>
        </is>
      </c>
      <c r="E119" t="inlineStr">
        <is>
          <t>Inspect Supabase edge-function logs for non-200 responses on zoho-crm-webhook.</t>
        </is>
      </c>
      <c r="F119" t="inlineStr">
        <is>
          <t>No new 500s or unexpected 400s during the run.</t>
        </is>
      </c>
      <c r="G119" t="inlineStr">
        <is>
          <t>Edge function logs</t>
        </is>
      </c>
      <c r="H119" t="inlineStr">
        <is>
          <t>P2</t>
        </is>
      </c>
      <c r="I119" t="inlineStr">
        <is>
          <t>-</t>
        </is>
      </c>
      <c r="J119" t="inlineStr">
        <is>
          <t>Fail</t>
        </is>
      </c>
      <c r="K119" t="inlineStr">
        <is>
          <t>ARL Tech</t>
        </is>
      </c>
      <c r="L119" t="inlineStr">
        <is>
          <t>2026-05-16</t>
        </is>
      </c>
      <c r="M119" t="inlineStr">
        <is>
          <t>DEF-V29-03</t>
        </is>
      </c>
      <c r="N119" t="inlineStr">
        <is>
          <t>5 × 400 from LLP_Creation_Module.edit (Wave B LLP repeatedly). No new 500s. Pre-existing 500s from earlier today are unrelated.</t>
        </is>
      </c>
    </row>
    <row r="120">
      <c r="A120" t="inlineStr">
        <is>
          <t>TC-V29-WD-03</t>
        </is>
      </c>
      <c r="B120" t="inlineStr">
        <is>
          <t>SC-V29 concurrency</t>
        </is>
      </c>
      <c r="C120" t="n">
        <v>3</v>
      </c>
      <c r="D120" t="inlineStr">
        <is>
          <t>During session</t>
        </is>
      </c>
      <c r="E120" t="inlineStr">
        <is>
          <t>Verify Sentry has no new error events from this run.</t>
        </is>
      </c>
      <c r="F120" t="inlineStr">
        <is>
          <t>No new captured exceptions.</t>
        </is>
      </c>
      <c r="G120" t="inlineStr">
        <is>
          <t>Sentry</t>
        </is>
      </c>
      <c r="H120" t="inlineStr">
        <is>
          <t>P2</t>
        </is>
      </c>
      <c r="I120" t="inlineStr">
        <is>
          <t>-</t>
        </is>
      </c>
      <c r="J120" t="inlineStr">
        <is>
          <t>Skip</t>
        </is>
      </c>
      <c r="K120" t="inlineStr">
        <is>
          <t>ARL Tech</t>
        </is>
      </c>
      <c r="L120" t="inlineStr">
        <is>
          <t>2026-05-16</t>
        </is>
      </c>
      <c r="N120" t="inlineStr">
        <is>
          <t>No Sentry MCP access from this session; SENTRY_EDGE_DSN is wired in handler source so 500-tier exceptions would be captured — could not directly verify.</t>
        </is>
      </c>
    </row>
    <row r="121">
      <c r="A121" t="inlineStr">
        <is>
          <t>TC-V29-WE-01</t>
        </is>
      </c>
      <c r="B121" t="inlineStr">
        <is>
          <t>SC-V29 explorer</t>
        </is>
      </c>
      <c r="C121" t="n">
        <v>1</v>
      </c>
      <c r="D121" t="inlineStr">
        <is>
          <t>Wave B + D mirrored; Flutter web on :5501</t>
        </is>
      </c>
      <c r="E121" t="inlineStr">
        <is>
          <t>Open Explorer; verify Wave-B project surfaces under correct pill (units_issued&gt;0 → Open for Reservation).</t>
        </is>
      </c>
      <c r="F121" t="inlineStr">
        <is>
          <t>Wave-B "[E2E-V29-WB-1] Throwaway LLP" appears under "Open" pill with Available Units=8/10, deadline 15 Aug 2026.</t>
        </is>
      </c>
      <c r="G121" t="inlineStr">
        <is>
          <t>Flutter Explorer</t>
        </is>
      </c>
      <c r="H121" t="inlineStr">
        <is>
          <t>P0</t>
        </is>
      </c>
      <c r="I121" t="inlineStr">
        <is>
          <t>-</t>
        </is>
      </c>
      <c r="J121" t="inlineStr">
        <is>
          <t>Pass</t>
        </is>
      </c>
      <c r="K121" t="inlineStr">
        <is>
          <t>ARL Tech</t>
        </is>
      </c>
      <c r="L121" t="inlineStr">
        <is>
          <t>2026-05-16</t>
        </is>
      </c>
      <c r="N121" t="inlineStr">
        <is>
          <t>Screenshot saved. Pill placement matches isListedInMarketplace + units_issued logic.</t>
        </is>
      </c>
    </row>
    <row r="122">
      <c r="A122" t="inlineStr">
        <is>
          <t>TC-V29-WE-02</t>
        </is>
      </c>
      <c r="B122" t="inlineStr">
        <is>
          <t>SC-V29 explorer</t>
        </is>
      </c>
      <c r="C122" t="n">
        <v>2</v>
      </c>
      <c r="D122" t="inlineStr">
        <is>
          <t>Wave D mirrored</t>
        </is>
      </c>
      <c r="E122" t="inlineStr">
        <is>
          <t>Verify Wave-D "[E2E-V29-WD-1] Concurrency LLP" appears under "Coming soon" pill (units_issued==0).</t>
        </is>
      </c>
      <c r="F122" t="inlineStr">
        <is>
          <t>Wave-D project listed under "Coming soon".</t>
        </is>
      </c>
      <c r="G122" t="inlineStr">
        <is>
          <t>Flutter Explorer</t>
        </is>
      </c>
      <c r="H122" t="inlineStr">
        <is>
          <t>P0</t>
        </is>
      </c>
      <c r="I122" t="inlineStr">
        <is>
          <t>-</t>
        </is>
      </c>
      <c r="J122" t="inlineStr">
        <is>
          <t>Pass</t>
        </is>
      </c>
      <c r="K122" t="inlineStr">
        <is>
          <t>ARL Tech</t>
        </is>
      </c>
      <c r="L122" t="inlineStr">
        <is>
          <t>2026-05-16</t>
        </is>
      </c>
      <c r="N122" t="inlineStr">
        <is>
          <t>Visible in Coming soon dropdown list. Transition logic (Coming Soon while units_issued=0; → Open once allocation lands) verified across Wave-B and Wave-D in same view.</t>
        </is>
      </c>
    </row>
  </sheetData>
  <mergeCells count="1">
    <mergeCell ref="A1:N1"/>
  </mergeCells>
  <conditionalFormatting sqref="J4:J89">
    <cfRule type="cellIs" priority="2" operator="equal" dxfId="0">
      <formula>"Pass"</formula>
    </cfRule>
    <cfRule type="cellIs" priority="3" operator="equal" dxfId="1">
      <formula>"Fail"</formula>
    </cfRule>
    <cfRule type="cellIs" priority="4" operator="equal" dxfId="6">
      <formula>"Blocked"</formula>
    </cfRule>
    <cfRule type="cellIs" priority="5" operator="equal" dxfId="7">
      <formula>"Skipped"</formula>
    </cfRule>
    <cfRule type="cellIs" priority="6" operator="equal" dxfId="8">
      <formula>"N/A"</formula>
    </cfRule>
  </conditionalFormatting>
  <dataValidations count="6">
    <dataValidation sqref="G10:G89" showDropDown="0" showInputMessage="0" showErrorMessage="0" allowBlank="1" type="list" errorStyle="stop">
      <formula1>"Sync,Supabase,App,Auth,RLS,App / RLS,Mixed"</formula1>
      <formula2>0</formula2>
    </dataValidation>
    <dataValidation sqref="G4:G89" showDropDown="0" showInputMessage="0" showErrorMessage="0" allowBlank="1" type="list" errorStyle="stop">
      <formula1>"Sync,Supabase,App,Auth,RLS,App / RLS,Mixed"</formula1>
      <formula2>0</formula2>
    </dataValidation>
    <dataValidation sqref="H10:H89" showDropDown="0" showInputMessage="0" showErrorMessage="0" allowBlank="1" type="list" errorStyle="stop">
      <formula1>"P0,P1,P2,P3"</formula1>
      <formula2>0</formula2>
    </dataValidation>
    <dataValidation sqref="H4:H89" showDropDown="0" showInputMessage="0" showErrorMessage="0" allowBlank="1" type="list" errorStyle="stop">
      <formula1>"P0,P1,P2,P3"</formula1>
      <formula2>0</formula2>
    </dataValidation>
    <dataValidation sqref="J10:J89" showDropDown="0" showInputMessage="0" showErrorMessage="0" allowBlank="1" type="list" errorStyle="stop">
      <formula1>"Not Run,Pass,Fail,Blocked,N/A"</formula1>
      <formula2>0</formula2>
    </dataValidation>
    <dataValidation sqref="J4:J89" showDropDown="0" showInputMessage="0" showErrorMessage="0" allowBlank="1" type="list" errorStyle="stop">
      <formula1>"Not Run,Pass,Fail,Blocked,N/A"</formula1>
      <formula2>0</formula2>
    </dataValidation>
  </dataValidations>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5.xml><?xml version="1.0" encoding="utf-8"?>
<worksheet xmlns="http://schemas.openxmlformats.org/spreadsheetml/2006/main">
  <sheetPr>
    <outlinePr summaryBelow="1" summaryRight="1"/>
    <pageSetUpPr/>
  </sheetPr>
  <dimension ref="A1:K23"/>
  <sheetViews>
    <sheetView view="normal" zoomScale="100" zoomScaleNormal="100" workbookViewId="0">
      <pane xSplit="4" ySplit="3" topLeftCell="E4" activePane="bottomRight" state="frozen"/>
      <selection pane="bottomRight" activeCell="A1" sqref="A1"/>
    </sheetView>
  </sheetViews>
  <sheetFormatPr baseColWidth="8" defaultColWidth="8.6796875" defaultRowHeight="15" outlineLevelRow="0"/>
  <cols>
    <col width="8" customWidth="1" style="1" min="1" max="1"/>
    <col width="18" customWidth="1" style="1" min="2" max="2"/>
    <col width="50" customWidth="1" style="1" min="3" max="3"/>
    <col width="12" customWidth="1" style="1" min="4" max="11"/>
  </cols>
  <sheetData>
    <row r="1" ht="19.5" customHeight="1">
      <c r="A1" s="2" t="inlineStr">
        <is>
          <t>Daily UAT — automated data-layer pass</t>
        </is>
      </c>
      <c r="I1" s="1" t="n"/>
      <c r="J1" s="1" t="n"/>
      <c r="K1" s="1" t="n"/>
    </row>
    <row r="2" ht="21.75" customHeight="1">
      <c r="A2" s="1" t="n"/>
      <c r="B2" s="1" t="n"/>
      <c r="C2" s="1" t="n"/>
      <c r="D2" s="1" t="n"/>
      <c r="E2" s="5" t="inlineStr">
        <is>
          <t>2026-05-05</t>
        </is>
      </c>
      <c r="F2" s="5" t="inlineStr">
        <is>
          <t>2026-05-06</t>
        </is>
      </c>
      <c r="G2" s="5" t="inlineStr">
        <is>
          <t>2026-05-07</t>
        </is>
      </c>
      <c r="H2" s="5" t="inlineStr">
        <is>
          <t>2026-05-08</t>
        </is>
      </c>
      <c r="I2" s="5" t="inlineStr">
        <is>
          <t>2026-05-09</t>
        </is>
      </c>
      <c r="J2" s="5" t="inlineStr">
        <is>
          <t>2026-05-10</t>
        </is>
      </c>
      <c r="K2" s="5" t="inlineStr">
        <is>
          <t>2026-05-11</t>
        </is>
      </c>
    </row>
    <row r="3" ht="27.75" customHeight="1">
      <c r="A3" s="5" t="inlineStr">
        <is>
          <t>ID</t>
        </is>
      </c>
      <c r="B3" s="5" t="inlineStr">
        <is>
          <t>Source case</t>
        </is>
      </c>
      <c r="C3" s="5" t="inlineStr">
        <is>
          <t>What the agent asserts</t>
        </is>
      </c>
      <c r="D3" s="5" t="inlineStr">
        <is>
          <t>Layer</t>
        </is>
      </c>
      <c r="E3" s="5" t="inlineStr">
        <is>
          <t>Result for run on date &gt;&gt;</t>
        </is>
      </c>
      <c r="F3" s="1" t="inlineStr">
        <is>
          <t>2026-05-07</t>
        </is>
      </c>
      <c r="G3" s="1" t="n"/>
      <c r="H3" s="1" t="n"/>
      <c r="I3" s="1" t="n"/>
      <c r="J3" s="1" t="n"/>
      <c r="K3" s="1" t="n"/>
    </row>
    <row r="4" ht="15" customHeight="1">
      <c r="A4" s="8" t="inlineStr">
        <is>
          <t>D-01</t>
        </is>
      </c>
      <c r="B4" s="9" t="inlineStr">
        <is>
          <t>TC-SYNC-001-01</t>
        </is>
      </c>
      <c r="C4" s="9" t="inlineStr">
        <is>
          <t>max(last_synced_at) within last 30 min</t>
        </is>
      </c>
      <c r="D4" s="9" t="inlineStr">
        <is>
          <t>Sync</t>
        </is>
      </c>
      <c r="E4" s="10" t="inlineStr">
        <is>
          <t>Not Run</t>
        </is>
      </c>
      <c r="F4" s="10" t="inlineStr">
        <is>
          <t>Not Run</t>
        </is>
      </c>
      <c r="G4" s="10" t="inlineStr">
        <is>
          <t>Fail</t>
        </is>
      </c>
      <c r="H4" s="10" t="inlineStr">
        <is>
          <t>Not Run</t>
        </is>
      </c>
      <c r="I4" s="10" t="inlineStr">
        <is>
          <t>Not Run</t>
        </is>
      </c>
      <c r="J4" s="10" t="inlineStr">
        <is>
          <t>Not Run</t>
        </is>
      </c>
      <c r="K4" s="10" t="inlineStr">
        <is>
          <t>Pass</t>
        </is>
      </c>
    </row>
    <row r="5" ht="15" customHeight="1">
      <c r="A5" s="8" t="inlineStr">
        <is>
          <t>D-02</t>
        </is>
      </c>
      <c r="B5" s="9" t="inlineStr">
        <is>
          <t>TC-SYNC-001-04</t>
        </is>
      </c>
      <c r="C5" s="9" t="inlineStr">
        <is>
          <t>Edge function 24h log: zero unhandled 500s</t>
        </is>
      </c>
      <c r="D5" s="9" t="inlineStr">
        <is>
          <t>Sync</t>
        </is>
      </c>
      <c r="E5" s="10" t="inlineStr">
        <is>
          <t>Not Run</t>
        </is>
      </c>
      <c r="F5" s="10" t="inlineStr">
        <is>
          <t>Not Run</t>
        </is>
      </c>
      <c r="G5" s="10" t="inlineStr">
        <is>
          <t>Skipped</t>
        </is>
      </c>
      <c r="H5" s="10" t="inlineStr">
        <is>
          <t>Not Run</t>
        </is>
      </c>
      <c r="I5" s="10" t="inlineStr">
        <is>
          <t>Not Run</t>
        </is>
      </c>
      <c r="J5" s="10" t="inlineStr">
        <is>
          <t>Not Run</t>
        </is>
      </c>
      <c r="K5" s="10" t="inlineStr">
        <is>
          <t>Skipped</t>
        </is>
      </c>
    </row>
    <row r="6" ht="15" customHeight="1">
      <c r="A6" s="8" t="inlineStr">
        <is>
          <t>D-03</t>
        </is>
      </c>
      <c r="B6" s="9" t="inlineStr">
        <is>
          <t>TC-SYNC-001-05</t>
        </is>
      </c>
      <c r="C6" s="9" t="inlineStr">
        <is>
          <t>list_migrations matches pinned expected list</t>
        </is>
      </c>
      <c r="D6" s="9" t="inlineStr">
        <is>
          <t>Supabase</t>
        </is>
      </c>
      <c r="E6" s="10" t="inlineStr">
        <is>
          <t>Not Run</t>
        </is>
      </c>
      <c r="F6" s="10" t="inlineStr">
        <is>
          <t>Not Run</t>
        </is>
      </c>
      <c r="G6" s="10" t="inlineStr">
        <is>
          <t>Skipped</t>
        </is>
      </c>
      <c r="H6" s="10" t="inlineStr">
        <is>
          <t>Not Run</t>
        </is>
      </c>
      <c r="I6" s="10" t="inlineStr">
        <is>
          <t>Not Run</t>
        </is>
      </c>
      <c r="J6" s="10" t="inlineStr">
        <is>
          <t>Not Run</t>
        </is>
      </c>
      <c r="K6" s="10" t="inlineStr">
        <is>
          <t>Skipped</t>
        </is>
      </c>
    </row>
    <row r="7" ht="15" customHeight="1">
      <c r="A7" s="8" t="inlineStr">
        <is>
          <t>D-04</t>
        </is>
      </c>
      <c r="B7" s="9" t="inlineStr">
        <is>
          <t>TC-RLS-001-01</t>
        </is>
      </c>
      <c r="C7" s="9" t="inlineStr">
        <is>
          <t>F-INV-01 sees only own allocations (count match)</t>
        </is>
      </c>
      <c r="D7" s="9" t="inlineStr">
        <is>
          <t>RLS</t>
        </is>
      </c>
      <c r="E7" s="10" t="inlineStr">
        <is>
          <t>Not Run</t>
        </is>
      </c>
      <c r="F7" s="10" t="inlineStr">
        <is>
          <t>Not Run</t>
        </is>
      </c>
      <c r="G7" s="10" t="inlineStr">
        <is>
          <t>Pass</t>
        </is>
      </c>
      <c r="H7" s="10" t="inlineStr">
        <is>
          <t>Not Run</t>
        </is>
      </c>
      <c r="I7" s="10" t="inlineStr">
        <is>
          <t>Not Run</t>
        </is>
      </c>
      <c r="J7" s="10" t="inlineStr">
        <is>
          <t>Not Run</t>
        </is>
      </c>
      <c r="K7" s="10" t="inlineStr">
        <is>
          <t>Pass</t>
        </is>
      </c>
    </row>
    <row r="8" ht="15" customHeight="1">
      <c r="A8" s="8" t="inlineStr">
        <is>
          <t>D-05</t>
        </is>
      </c>
      <c r="B8" s="9" t="inlineStr">
        <is>
          <t>TC-RLS-001-02</t>
        </is>
      </c>
      <c r="C8" s="9" t="inlineStr">
        <is>
          <t>F-INV-01 querying F-INV-02 allocations: 0</t>
        </is>
      </c>
      <c r="D8" s="9" t="inlineStr">
        <is>
          <t>RLS</t>
        </is>
      </c>
      <c r="E8" s="10" t="inlineStr">
        <is>
          <t>Not Run</t>
        </is>
      </c>
      <c r="F8" s="10" t="inlineStr">
        <is>
          <t>Not Run</t>
        </is>
      </c>
      <c r="G8" s="10" t="inlineStr">
        <is>
          <t>Pass</t>
        </is>
      </c>
      <c r="H8" s="10" t="inlineStr">
        <is>
          <t>Not Run</t>
        </is>
      </c>
      <c r="I8" s="10" t="inlineStr">
        <is>
          <t>Not Run</t>
        </is>
      </c>
      <c r="J8" s="10" t="inlineStr">
        <is>
          <t>Not Run</t>
        </is>
      </c>
      <c r="K8" s="10" t="inlineStr">
        <is>
          <t>Pass</t>
        </is>
      </c>
    </row>
    <row r="9" ht="15" customHeight="1">
      <c r="A9" s="8" t="inlineStr">
        <is>
          <t>D-06</t>
        </is>
      </c>
      <c r="B9" s="9" t="inlineStr">
        <is>
          <t>TC-RLS-001-03</t>
        </is>
      </c>
      <c r="C9" s="9" t="inlineStr">
        <is>
          <t>F-INV-01 querying F-INV-02 documents: 0</t>
        </is>
      </c>
      <c r="D9" s="9" t="inlineStr">
        <is>
          <t>RLS</t>
        </is>
      </c>
      <c r="E9" s="10" t="inlineStr">
        <is>
          <t>Not Run</t>
        </is>
      </c>
      <c r="F9" s="10" t="inlineStr">
        <is>
          <t>Not Run</t>
        </is>
      </c>
      <c r="G9" s="10" t="inlineStr">
        <is>
          <t>Pass</t>
        </is>
      </c>
      <c r="H9" s="10" t="inlineStr">
        <is>
          <t>Not Run</t>
        </is>
      </c>
      <c r="I9" s="10" t="inlineStr">
        <is>
          <t>Not Run</t>
        </is>
      </c>
      <c r="J9" s="10" t="inlineStr">
        <is>
          <t>Not Run</t>
        </is>
      </c>
      <c r="K9" s="10" t="inlineStr">
        <is>
          <t>Pass</t>
        </is>
      </c>
    </row>
    <row r="10" ht="15" customHeight="1">
      <c r="A10" s="8" t="inlineStr">
        <is>
          <t>D-07</t>
        </is>
      </c>
      <c r="B10" s="9" t="inlineStr">
        <is>
          <t>TC-RLS-001-05</t>
        </is>
      </c>
      <c r="C10" s="9" t="inlineStr">
        <is>
          <t>Real (non-demo) investor sees zero -demo records</t>
        </is>
      </c>
      <c r="D10" s="9" t="inlineStr">
        <is>
          <t>RLS</t>
        </is>
      </c>
      <c r="E10" s="10" t="inlineStr">
        <is>
          <t>Not Run</t>
        </is>
      </c>
      <c r="F10" s="10" t="inlineStr">
        <is>
          <t>Not Run</t>
        </is>
      </c>
      <c r="G10" s="10" t="inlineStr">
        <is>
          <t>Skipped</t>
        </is>
      </c>
      <c r="H10" s="10" t="inlineStr">
        <is>
          <t>Not Run</t>
        </is>
      </c>
      <c r="I10" s="10" t="inlineStr">
        <is>
          <t>Not Run</t>
        </is>
      </c>
      <c r="J10" s="10" t="inlineStr">
        <is>
          <t>Not Run</t>
        </is>
      </c>
      <c r="K10" s="10" t="inlineStr">
        <is>
          <t>Skipped</t>
        </is>
      </c>
    </row>
    <row r="11" ht="15" customHeight="1">
      <c r="A11" s="8" t="inlineStr">
        <is>
          <t>D-08</t>
        </is>
      </c>
      <c r="B11" s="9" t="inlineStr">
        <is>
          <t>TC-ALC-001-01</t>
        </is>
      </c>
      <c r="C11" s="9" t="inlineStr">
        <is>
          <t>F-ALC-01 row matches fixture spec (Paid+Active)</t>
        </is>
      </c>
      <c r="D11" s="9" t="inlineStr">
        <is>
          <t>Supabase</t>
        </is>
      </c>
      <c r="E11" s="10" t="inlineStr">
        <is>
          <t>Not Run</t>
        </is>
      </c>
      <c r="F11" s="10" t="inlineStr">
        <is>
          <t>Not Run</t>
        </is>
      </c>
      <c r="G11" s="10" t="inlineStr">
        <is>
          <t>Fail</t>
        </is>
      </c>
      <c r="H11" s="10" t="inlineStr">
        <is>
          <t>Not Run</t>
        </is>
      </c>
      <c r="I11" s="10" t="inlineStr">
        <is>
          <t>Not Run</t>
        </is>
      </c>
      <c r="J11" s="10" t="inlineStr">
        <is>
          <t>Not Run</t>
        </is>
      </c>
      <c r="K11" s="10" t="inlineStr">
        <is>
          <t>Pass</t>
        </is>
      </c>
    </row>
    <row r="12" ht="15" customHeight="1">
      <c r="A12" s="8" t="inlineStr">
        <is>
          <t>D-09</t>
        </is>
      </c>
      <c r="B12" s="9" t="inlineStr">
        <is>
          <t>TC-ALC-002-01</t>
        </is>
      </c>
      <c r="C12" s="9" t="inlineStr">
        <is>
          <t>F-ALC-02 + F-PRJ-A2 (Paid+NotStarted) match spec</t>
        </is>
      </c>
      <c r="D12" s="9" t="inlineStr">
        <is>
          <t>Supabase</t>
        </is>
      </c>
      <c r="E12" s="10" t="inlineStr">
        <is>
          <t>Not Run</t>
        </is>
      </c>
      <c r="F12" s="10" t="inlineStr">
        <is>
          <t>Not Run</t>
        </is>
      </c>
      <c r="G12" s="10" t="inlineStr">
        <is>
          <t>Fail</t>
        </is>
      </c>
      <c r="H12" s="10" t="inlineStr">
        <is>
          <t>Not Run</t>
        </is>
      </c>
      <c r="I12" s="10" t="inlineStr">
        <is>
          <t>Not Run</t>
        </is>
      </c>
      <c r="J12" s="10" t="inlineStr">
        <is>
          <t>Not Run</t>
        </is>
      </c>
      <c r="K12" s="10" t="inlineStr">
        <is>
          <t>Skipped</t>
        </is>
      </c>
    </row>
    <row r="13" ht="15" customHeight="1">
      <c r="A13" s="8" t="inlineStr">
        <is>
          <t>D-10</t>
        </is>
      </c>
      <c r="B13" s="9" t="inlineStr">
        <is>
          <t>TC-ALC-003-01</t>
        </is>
      </c>
      <c r="C13" s="9" t="inlineStr">
        <is>
          <t>F-ALC-03 paid=0; status Pending</t>
        </is>
      </c>
      <c r="D13" s="9" t="inlineStr">
        <is>
          <t>Supabase</t>
        </is>
      </c>
      <c r="E13" s="10" t="inlineStr">
        <is>
          <t>Not Run</t>
        </is>
      </c>
      <c r="F13" s="10" t="inlineStr">
        <is>
          <t>Not Run</t>
        </is>
      </c>
      <c r="G13" s="10" t="inlineStr">
        <is>
          <t>Fail</t>
        </is>
      </c>
      <c r="H13" s="10" t="inlineStr">
        <is>
          <t>Not Run</t>
        </is>
      </c>
      <c r="I13" s="10" t="inlineStr">
        <is>
          <t>Not Run</t>
        </is>
      </c>
      <c r="J13" s="10" t="inlineStr">
        <is>
          <t>Not Run</t>
        </is>
      </c>
      <c r="K13" s="10" t="inlineStr">
        <is>
          <t>Skipped</t>
        </is>
      </c>
    </row>
    <row r="14" ht="15" customHeight="1">
      <c r="A14" s="8" t="inlineStr">
        <is>
          <t>D-11</t>
        </is>
      </c>
      <c r="B14" s="9" t="inlineStr">
        <is>
          <t>TC-ALC-004-01</t>
        </is>
      </c>
      <c r="C14" s="9" t="inlineStr">
        <is>
          <t>F-ALC-04 paid=50% committed; status Partial</t>
        </is>
      </c>
      <c r="D14" s="9" t="inlineStr">
        <is>
          <t>Supabase</t>
        </is>
      </c>
      <c r="E14" s="10" t="inlineStr">
        <is>
          <t>Not Run</t>
        </is>
      </c>
      <c r="F14" s="10" t="inlineStr">
        <is>
          <t>Not Run</t>
        </is>
      </c>
      <c r="G14" s="10" t="inlineStr">
        <is>
          <t>Fail</t>
        </is>
      </c>
      <c r="H14" s="10" t="inlineStr">
        <is>
          <t>Not Run</t>
        </is>
      </c>
      <c r="I14" s="10" t="inlineStr">
        <is>
          <t>Not Run</t>
        </is>
      </c>
      <c r="J14" s="10" t="inlineStr">
        <is>
          <t>Not Run</t>
        </is>
      </c>
      <c r="K14" s="10" t="inlineStr">
        <is>
          <t>Skipped</t>
        </is>
      </c>
    </row>
    <row r="15" ht="15" customHeight="1">
      <c r="A15" s="8" t="inlineStr">
        <is>
          <t>D-12</t>
        </is>
      </c>
      <c r="B15" s="9" t="inlineStr">
        <is>
          <t>TC-ALC-005-01</t>
        </is>
      </c>
      <c r="C15" s="9" t="inlineStr">
        <is>
          <t>F-INV-05 has 2 allocations; sums match</t>
        </is>
      </c>
      <c r="D15" s="9" t="inlineStr">
        <is>
          <t>Supabase</t>
        </is>
      </c>
      <c r="E15" s="10" t="inlineStr">
        <is>
          <t>Not Run</t>
        </is>
      </c>
      <c r="F15" s="10" t="inlineStr">
        <is>
          <t>Not Run</t>
        </is>
      </c>
      <c r="G15" s="10" t="inlineStr">
        <is>
          <t>Fail</t>
        </is>
      </c>
      <c r="H15" s="10" t="inlineStr">
        <is>
          <t>Not Run</t>
        </is>
      </c>
      <c r="I15" s="10" t="inlineStr">
        <is>
          <t>Not Run</t>
        </is>
      </c>
      <c r="J15" s="10" t="inlineStr">
        <is>
          <t>Not Run</t>
        </is>
      </c>
      <c r="K15" s="10" t="inlineStr">
        <is>
          <t>Skipped</t>
        </is>
      </c>
    </row>
    <row r="16" ht="15" customHeight="1">
      <c r="A16" s="8" t="inlineStr">
        <is>
          <t>D-13</t>
        </is>
      </c>
      <c r="B16" s="9" t="inlineStr">
        <is>
          <t>TC-NEG-004</t>
        </is>
      </c>
      <c r="C16" s="9" t="inlineStr">
        <is>
          <t>Invariant: sum(allocated_units) &lt;= project.total_units</t>
        </is>
      </c>
      <c r="D16" s="9" t="inlineStr">
        <is>
          <t>Supabase</t>
        </is>
      </c>
      <c r="E16" s="10" t="inlineStr">
        <is>
          <t>Not Run</t>
        </is>
      </c>
      <c r="F16" s="10" t="inlineStr">
        <is>
          <t>Not Run</t>
        </is>
      </c>
      <c r="G16" s="10" t="inlineStr">
        <is>
          <t>Pass</t>
        </is>
      </c>
      <c r="H16" s="10" t="inlineStr">
        <is>
          <t>Not Run</t>
        </is>
      </c>
      <c r="I16" s="10" t="inlineStr">
        <is>
          <t>Not Run</t>
        </is>
      </c>
      <c r="J16" s="10" t="inlineStr">
        <is>
          <t>Not Run</t>
        </is>
      </c>
      <c r="K16" s="10" t="inlineStr">
        <is>
          <t>Pass</t>
        </is>
      </c>
    </row>
    <row r="17" ht="15" customHeight="1">
      <c r="A17" s="8" t="inlineStr">
        <is>
          <t>D-14</t>
        </is>
      </c>
      <c r="B17" s="9" t="inlineStr">
        <is>
          <t>new</t>
        </is>
      </c>
      <c r="C17" s="9" t="inlineStr">
        <is>
          <t>Invariant: paid_amount &lt;= committed_amount</t>
        </is>
      </c>
      <c r="D17" s="9" t="inlineStr">
        <is>
          <t>Supabase</t>
        </is>
      </c>
      <c r="E17" s="10" t="inlineStr">
        <is>
          <t>Not Run</t>
        </is>
      </c>
      <c r="F17" s="10" t="inlineStr">
        <is>
          <t>Not Run</t>
        </is>
      </c>
      <c r="G17" s="10" t="inlineStr">
        <is>
          <t>Pass</t>
        </is>
      </c>
      <c r="H17" s="10" t="inlineStr">
        <is>
          <t>Not Run</t>
        </is>
      </c>
      <c r="I17" s="10" t="inlineStr">
        <is>
          <t>Not Run</t>
        </is>
      </c>
      <c r="J17" s="10" t="inlineStr">
        <is>
          <t>Not Run</t>
        </is>
      </c>
      <c r="K17" s="10" t="inlineStr">
        <is>
          <t>Pass</t>
        </is>
      </c>
    </row>
    <row r="18" ht="15" customHeight="1">
      <c r="A18" s="8" t="inlineStr">
        <is>
          <t>D-15</t>
        </is>
      </c>
      <c r="B18" s="9" t="inlineStr">
        <is>
          <t>new</t>
        </is>
      </c>
      <c r="C18" s="9" t="inlineStr">
        <is>
          <t>Invariant: every allocation FK resolves (no orphans)</t>
        </is>
      </c>
      <c r="D18" s="9" t="inlineStr">
        <is>
          <t>Supabase</t>
        </is>
      </c>
      <c r="E18" s="10" t="inlineStr">
        <is>
          <t>Not Run</t>
        </is>
      </c>
      <c r="F18" s="10" t="inlineStr">
        <is>
          <t>Not Run</t>
        </is>
      </c>
      <c r="G18" s="10" t="inlineStr">
        <is>
          <t>Pass</t>
        </is>
      </c>
      <c r="H18" s="10" t="inlineStr">
        <is>
          <t>Not Run</t>
        </is>
      </c>
      <c r="I18" s="10" t="inlineStr">
        <is>
          <t>Not Run</t>
        </is>
      </c>
      <c r="J18" s="10" t="inlineStr">
        <is>
          <t>Not Run</t>
        </is>
      </c>
      <c r="K18" s="10" t="inlineStr">
        <is>
          <t>Pass</t>
        </is>
      </c>
    </row>
    <row r="19" ht="15" customHeight="1">
      <c r="A19" s="8" t="inlineStr">
        <is>
          <t>D-16</t>
        </is>
      </c>
      <c r="B19" s="9" t="inlineStr">
        <is>
          <t>TC-OBS-001-02</t>
        </is>
      </c>
      <c r="C19" s="9" t="inlineStr">
        <is>
          <t>Edge function logs not empty for last 24h</t>
        </is>
      </c>
      <c r="D19" s="9" t="inlineStr">
        <is>
          <t>Sync</t>
        </is>
      </c>
      <c r="E19" s="10" t="inlineStr">
        <is>
          <t>Not Run</t>
        </is>
      </c>
      <c r="F19" s="10" t="inlineStr">
        <is>
          <t>Not Run</t>
        </is>
      </c>
      <c r="G19" s="10" t="inlineStr">
        <is>
          <t>Skipped</t>
        </is>
      </c>
      <c r="H19" s="10" t="inlineStr">
        <is>
          <t>Not Run</t>
        </is>
      </c>
      <c r="I19" s="10" t="inlineStr">
        <is>
          <t>Not Run</t>
        </is>
      </c>
      <c r="J19" s="10" t="inlineStr">
        <is>
          <t>Not Run</t>
        </is>
      </c>
      <c r="K19" s="10" t="inlineStr">
        <is>
          <t>Pass</t>
        </is>
      </c>
    </row>
    <row r="20" ht="15" customHeight="1">
      <c r="A20" s="8" t="inlineStr">
        <is>
          <t>D-17</t>
        </is>
      </c>
      <c r="B20" s="9" t="inlineStr">
        <is>
          <t>TC-OBS-001-03</t>
        </is>
      </c>
      <c r="C20" s="9" t="inlineStr">
        <is>
          <t>Slack alert webhook responded 200 in last test</t>
        </is>
      </c>
      <c r="D20" s="9" t="inlineStr">
        <is>
          <t>Sync</t>
        </is>
      </c>
      <c r="E20" s="10" t="inlineStr">
        <is>
          <t>Not Run</t>
        </is>
      </c>
      <c r="F20" s="10" t="inlineStr">
        <is>
          <t>Not Run</t>
        </is>
      </c>
      <c r="G20" s="10" t="inlineStr">
        <is>
          <t>Skipped</t>
        </is>
      </c>
      <c r="H20" s="10" t="inlineStr">
        <is>
          <t>Not Run</t>
        </is>
      </c>
      <c r="I20" s="10" t="inlineStr">
        <is>
          <t>Not Run</t>
        </is>
      </c>
      <c r="J20" s="10" t="inlineStr">
        <is>
          <t>Not Run</t>
        </is>
      </c>
      <c r="K20" s="10" t="inlineStr">
        <is>
          <t>Skipped</t>
        </is>
      </c>
    </row>
    <row r="21" ht="15" customHeight="1">
      <c r="A21" s="8" t="inlineStr">
        <is>
          <t>D-18</t>
        </is>
      </c>
      <c r="B21" s="9" t="inlineStr">
        <is>
          <t>TC-EXIT-001-01</t>
        </is>
      </c>
      <c r="C21" s="9" t="inlineStr">
        <is>
          <t>F-PRJ-EXIT status Exit; payout fields populated</t>
        </is>
      </c>
      <c r="D21" s="9" t="inlineStr">
        <is>
          <t>Supabase</t>
        </is>
      </c>
      <c r="E21" s="10" t="inlineStr">
        <is>
          <t>Not Run</t>
        </is>
      </c>
      <c r="F21" s="10" t="inlineStr">
        <is>
          <t>Not Run</t>
        </is>
      </c>
      <c r="G21" s="10" t="inlineStr">
        <is>
          <t>Fail</t>
        </is>
      </c>
      <c r="H21" s="10" t="inlineStr">
        <is>
          <t>Not Run</t>
        </is>
      </c>
      <c r="I21" s="10" t="inlineStr">
        <is>
          <t>Not Run</t>
        </is>
      </c>
      <c r="J21" s="10" t="inlineStr">
        <is>
          <t>Not Run</t>
        </is>
      </c>
      <c r="K21" s="10" t="inlineStr">
        <is>
          <t>Skipped</t>
        </is>
      </c>
    </row>
    <row r="22">
      <c r="A22" s="1" t="n"/>
    </row>
    <row r="23" ht="15" customHeight="1">
      <c r="A23" s="12" t="inlineStr">
        <is>
          <t>Pass / Total</t>
        </is>
      </c>
      <c r="E23" s="13">
        <f>IF(COUNTA(E4:E21)=0,"-",COUNTIF(E4:E21,"Pass")/18)</f>
        <v/>
      </c>
      <c r="F23" s="13">
        <f>IF(COUNTA(F4:F21)=0,"-",COUNTIF(F4:F21,"Pass")/18)</f>
        <v/>
      </c>
      <c r="G23" s="13">
        <f>IF(COUNTA(G4:G21)=0,"-",COUNTIF(G4:G21,"Pass")/18)</f>
        <v/>
      </c>
      <c r="H23" s="13">
        <f>IF(COUNTA(H4:H21)=0,"-",COUNTIF(H4:H21,"Pass")/18)</f>
        <v/>
      </c>
      <c r="I23" s="13">
        <f>IF(COUNTA(I4:I21)=0,"-",COUNTIF(I4:I21,"Pass")/18)</f>
        <v/>
      </c>
      <c r="J23" s="13">
        <f>IF(COUNTA(J4:J21)=0,"-",COUNTIF(J4:J21,"Pass")/18)</f>
        <v/>
      </c>
      <c r="K23" s="13">
        <f>IF(COUNTA(K4:K21)=0,"-",COUNTIF(K4:K21,"Pass")/18)</f>
        <v/>
      </c>
    </row>
  </sheetData>
  <mergeCells count="1">
    <mergeCell ref="A1:H1"/>
  </mergeCells>
  <conditionalFormatting sqref="E4:K21">
    <cfRule type="cellIs" priority="2" operator="equal" dxfId="0">
      <formula>"Pass"</formula>
    </cfRule>
    <cfRule type="cellIs" priority="3" operator="equal" dxfId="1">
      <formula>"Fail"</formula>
    </cfRule>
    <cfRule type="cellIs" priority="4" operator="equal" dxfId="7">
      <formula>"Skipped"</formula>
    </cfRule>
  </conditionalFormatting>
  <dataValidations count="2">
    <dataValidation sqref="E10:K21" showDropDown="0" showInputMessage="0" showErrorMessage="0" allowBlank="1" type="list" errorStyle="stop">
      <formula1>"Not Run,Pass,Fail,Skipped"</formula1>
      <formula2>0</formula2>
    </dataValidation>
    <dataValidation sqref="E4:K21" showDropDown="0" showInputMessage="0" showErrorMessage="0" allowBlank="1" type="list" errorStyle="stop">
      <formula1>"Not Run,Pass,Fail,Skipped"</formula1>
      <formula2>0</formula2>
    </dataValidation>
  </dataValidations>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6.xml><?xml version="1.0" encoding="utf-8"?>
<worksheet xmlns="http://schemas.openxmlformats.org/spreadsheetml/2006/main">
  <sheetPr>
    <outlinePr summaryBelow="1" summaryRight="1"/>
    <pageSetUpPr/>
  </sheetPr>
  <dimension ref="A1:N61"/>
  <sheetViews>
    <sheetView view="normal" zoomScale="100" zoomScaleNormal="100" workbookViewId="0">
      <pane ySplit="3" topLeftCell="A4" activePane="bottomLeft" state="frozen"/>
      <selection pane="bottomLeft" activeCell="A1" sqref="A1"/>
    </sheetView>
  </sheetViews>
  <sheetFormatPr baseColWidth="8" defaultColWidth="8.6796875" defaultRowHeight="15" outlineLevelRow="0"/>
  <cols>
    <col width="10" customWidth="1" style="1" min="1" max="1"/>
    <col width="38" customWidth="1" style="1" min="2" max="2"/>
    <col width="16" customWidth="1" style="1" min="3" max="3"/>
    <col width="14" customWidth="1" style="1" min="4" max="4"/>
    <col width="12" customWidth="1" style="1" min="5" max="6"/>
    <col width="10" customWidth="1" style="1" min="7" max="8"/>
    <col width="18" customWidth="1" style="1" min="9" max="9"/>
    <col width="14" customWidth="1" style="1" min="10" max="10"/>
    <col width="12" customWidth="1" style="1" min="11" max="12"/>
    <col width="38" customWidth="1" style="1" min="13" max="13"/>
    <col width="14" customWidth="1" style="1" min="14" max="14"/>
  </cols>
  <sheetData>
    <row r="1" ht="19.5" customHeight="1">
      <c r="A1" s="2" t="inlineStr">
        <is>
          <t>Defect Log</t>
        </is>
      </c>
    </row>
    <row r="2">
      <c r="A2" s="1" t="n"/>
    </row>
    <row r="3" ht="31.5" customHeight="1">
      <c r="A3" s="5" t="inlineStr">
        <is>
          <t>DEF ID</t>
        </is>
      </c>
      <c r="B3" s="5" t="inlineStr">
        <is>
          <t>Title</t>
        </is>
      </c>
      <c r="C3" s="5" t="inlineStr">
        <is>
          <t>Linked TC</t>
        </is>
      </c>
      <c r="D3" s="5" t="inlineStr">
        <is>
          <t>Linked Scenario</t>
        </is>
      </c>
      <c r="E3" s="5" t="inlineStr">
        <is>
          <t>Environment</t>
        </is>
      </c>
      <c r="F3" s="5" t="inlineStr">
        <is>
          <t>Layer</t>
        </is>
      </c>
      <c r="G3" s="5" t="inlineStr">
        <is>
          <t>Severity</t>
        </is>
      </c>
      <c r="H3" s="5" t="inlineStr">
        <is>
          <t>Priority</t>
        </is>
      </c>
      <c r="I3" s="5" t="inlineStr">
        <is>
          <t>Status</t>
        </is>
      </c>
      <c r="J3" s="5" t="inlineStr">
        <is>
          <t>Owner</t>
        </is>
      </c>
      <c r="K3" s="5" t="inlineStr">
        <is>
          <t>Filed on</t>
        </is>
      </c>
      <c r="L3" s="5" t="inlineStr">
        <is>
          <t>Closed on</t>
        </is>
      </c>
      <c r="M3" s="5" t="inlineStr">
        <is>
          <t>Root cause / Fix</t>
        </is>
      </c>
      <c r="N3" s="5" t="inlineStr">
        <is>
          <t>Re-test result</t>
        </is>
      </c>
    </row>
    <row r="4" ht="15" customHeight="1">
      <c r="A4" s="9" t="inlineStr">
        <is>
          <t>DEF-2026-05-07-01</t>
        </is>
      </c>
      <c r="B4" s="9" t="inlineStr">
        <is>
          <t>Schema drift: llps.last_synced_at column missing</t>
        </is>
      </c>
      <c r="C4" s="9" t="inlineStr">
        <is>
          <t>TC-SYNC-001-01 / D-01</t>
        </is>
      </c>
      <c r="D4" s="9" t="inlineStr">
        <is>
          <t>SC-SYNC-001</t>
        </is>
      </c>
      <c r="E4" s="9" t="inlineStr">
        <is>
          <t>Staging (anon REST)</t>
        </is>
      </c>
      <c r="F4" s="9" t="inlineStr">
        <is>
          <t>Supabase</t>
        </is>
      </c>
      <c r="G4" s="9" t="inlineStr">
        <is>
          <t>S2</t>
        </is>
      </c>
      <c r="H4" s="9" t="inlineStr">
        <is>
          <t>P1</t>
        </is>
      </c>
      <c r="I4" s="9" t="inlineStr">
        <is>
          <t>Open</t>
        </is>
      </c>
      <c r="J4" s="9" t="inlineStr">
        <is>
          <t>ARL Tech</t>
        </is>
      </c>
      <c r="K4" s="9" t="inlineStr">
        <is>
          <t>2026-05-07</t>
        </is>
      </c>
      <c r="L4" s="9" t="n"/>
      <c r="M4" s="9" t="n"/>
      <c r="N4" s="9" t="n"/>
    </row>
    <row r="5" ht="15" customHeight="1">
      <c r="A5" s="9" t="inlineStr">
        <is>
          <t>DEF-2026-05-07-02</t>
        </is>
      </c>
      <c r="B5" s="9" t="inlineStr">
        <is>
          <t>investor_units.allocation_status is NULL on all rows</t>
        </is>
      </c>
      <c r="C5" s="9" t="inlineStr">
        <is>
          <t>TC-ALC-001-01 .. TC-ALC-003-01 / D-08..D-12</t>
        </is>
      </c>
      <c r="D5" s="9" t="inlineStr">
        <is>
          <t>SC-ALC-001..005</t>
        </is>
      </c>
      <c r="E5" s="9" t="inlineStr">
        <is>
          <t>Staging (authenticated REST as Sahil Mohite)</t>
        </is>
      </c>
      <c r="F5" s="9" t="inlineStr">
        <is>
          <t>Supabase</t>
        </is>
      </c>
      <c r="G5" s="9" t="inlineStr">
        <is>
          <t>S2</t>
        </is>
      </c>
      <c r="H5" s="9" t="inlineStr">
        <is>
          <t>P0</t>
        </is>
      </c>
      <c r="I5" s="9" t="inlineStr">
        <is>
          <t>Open</t>
        </is>
      </c>
      <c r="J5" s="9" t="inlineStr">
        <is>
          <t>ARL Tech</t>
        </is>
      </c>
      <c r="K5" s="9" t="inlineStr">
        <is>
          <t>2026-05-07</t>
        </is>
      </c>
      <c r="L5" s="9" t="n"/>
      <c r="M5" s="9" t="n"/>
      <c r="N5" s="9" t="n"/>
    </row>
    <row r="6" ht="15" customHeight="1">
      <c r="A6" s="9" t="inlineStr">
        <is>
          <t>DEF-2026-05-07-03</t>
        </is>
      </c>
      <c r="B6" s="9" t="inlineStr">
        <is>
          <t>Zoho CRM -&gt; Supabase sync not propagating: webhook never fires</t>
        </is>
      </c>
      <c r="C6" s="9" t="inlineStr">
        <is>
          <t>TC-LLP-001-04 / TC-SYNC-001-* (manual CRM-&gt;Supabase trace)</t>
        </is>
      </c>
      <c r="D6" s="9" t="inlineStr">
        <is>
          <t>SC-LLP-001 / SC-SYNC-001</t>
        </is>
      </c>
      <c r="E6" s="9" t="inlineStr">
        <is>
          <t>Staging (authenticated REST + edge function probe)</t>
        </is>
      </c>
      <c r="F6" s="9" t="inlineStr">
        <is>
          <t>Sync</t>
        </is>
      </c>
      <c r="G6" s="9" t="inlineStr">
        <is>
          <t>S1</t>
        </is>
      </c>
      <c r="H6" s="9" t="inlineStr">
        <is>
          <t>P0</t>
        </is>
      </c>
      <c r="I6" s="9" t="inlineStr">
        <is>
          <t>Resolved (re-tested)</t>
        </is>
      </c>
      <c r="J6" s="9" t="inlineStr">
        <is>
          <t>ARL Tech</t>
        </is>
      </c>
      <c r="K6" s="9" t="inlineStr">
        <is>
          <t>2026-05-07</t>
        </is>
      </c>
      <c r="L6" s="9" t="inlineStr">
        <is>
          <t>2026-05-15</t>
        </is>
      </c>
      <c r="M6" s="9" t="inlineStr">
        <is>
          <t>zoho-crm-webhook v27 deployed + Zoho Custom Functions Push_Contact/LLP/Allocation_To_Supabase emit the v3 envelope. Wave 1 of 2026-05-15 ops-side E2E verified all 3 module updates land cleanly in webhook_log + downstream tables.</t>
        </is>
      </c>
      <c r="N6" s="9" t="inlineStr">
        <is>
          <t>PASS — see docs/e2e_test_results_ops_side_v27_2026-05-15.md Wave 1. Residual issue tracked as DEF-V27-01.</t>
        </is>
      </c>
    </row>
    <row r="7" ht="15" customHeight="1">
      <c r="A7" s="9" t="inlineStr">
        <is>
          <t>DEF-2026-05-11-01</t>
        </is>
      </c>
      <c r="B7" s="9" t="inlineStr">
        <is>
          <t>New LLPs default is_listed_in_marketplace=false → Explore tab never surfaces newly-synced LLPs</t>
        </is>
      </c>
      <c r="C7" s="9" t="inlineStr">
        <is>
          <t>TC-APP-001-06</t>
        </is>
      </c>
      <c r="D7" s="9" t="inlineStr">
        <is>
          <t>SC-APP-001</t>
        </is>
      </c>
      <c r="E7" s="9" t="inlineStr">
        <is>
          <t>Staging</t>
        </is>
      </c>
      <c r="F7" s="9" t="inlineStr">
        <is>
          <t>Supabase + Sync</t>
        </is>
      </c>
      <c r="G7" s="9" t="inlineStr">
        <is>
          <t>S2</t>
        </is>
      </c>
      <c r="H7" s="9" t="inlineStr">
        <is>
          <t>P1</t>
        </is>
      </c>
      <c r="I7" s="9" t="inlineStr">
        <is>
          <t>Resolved</t>
        </is>
      </c>
      <c r="J7" s="9" t="inlineStr">
        <is>
          <t>Claude (Opus 4.7)</t>
        </is>
      </c>
      <c r="K7" s="9" t="inlineStr">
        <is>
          <t>2026-05-11</t>
        </is>
      </c>
      <c r="L7" s="9" t="inlineStr">
        <is>
          <t>Webhook handleProject + reconcileLlps don't set is_listed_in_marketplace; defaults to false/null. Fix: derive from LLP_Status (true when Open for Reservation / Open for Issuance) OR add a CRM field and propagate.
[RESOLVED 2026-05-11]: Backfilled 14 rows via UPDATE projects SET is_listed_in_marketplace=(status IN ('Open for Reservation','Open for Issuance')). Deployed isListedInMarketplace helper in both zoho-crm-webhook + zoho-reconcile-daily handlers. Verified UAT End-to-End LLP now appears in marketplace query (8 listed total). End-to-end fire test returned HTTP 200.</t>
        </is>
      </c>
      <c r="M7" s="9" t="n"/>
      <c r="N7" s="9" t="n"/>
    </row>
    <row r="8" ht="15" customHeight="1">
      <c r="A8" s="9" t="inlineStr">
        <is>
          <t>DEF-2026-05-11-02</t>
        </is>
      </c>
      <c r="B8" s="9" t="inlineStr">
        <is>
          <t>Supabase Auth rejects RFC 6761 .test TLD on inviteUserByEmail</t>
        </is>
      </c>
      <c r="C8" s="9" t="inlineStr">
        <is>
          <t>(N/A — runbook)</t>
        </is>
      </c>
      <c r="D8" s="9" t="inlineStr">
        <is>
          <t>SC-INV-001</t>
        </is>
      </c>
      <c r="E8" s="9" t="inlineStr">
        <is>
          <t>Staging</t>
        </is>
      </c>
      <c r="F8" s="9" t="inlineStr">
        <is>
          <t>Auth</t>
        </is>
      </c>
      <c r="G8" s="9" t="inlineStr">
        <is>
          <t>S3</t>
        </is>
      </c>
      <c r="H8" s="9" t="inlineStr">
        <is>
          <t>P3</t>
        </is>
      </c>
      <c r="I8" s="9" t="inlineStr">
        <is>
          <t>Resolved</t>
        </is>
      </c>
      <c r="J8" s="9" t="inlineStr">
        <is>
          <t>Claude (Opus 4.7)</t>
        </is>
      </c>
      <c r="K8" s="9" t="inlineStr">
        <is>
          <t>2026-05-11</t>
        </is>
      </c>
      <c r="L8" s="9" t="inlineStr">
        <is>
          <t>auth.admin.inviteUserByEmail returned "Email ... is invalid" for an @arl.test address during Workstream 3 Step B. Use real domain (.com/.org) for any onboard tests. Document in onboard-investor README.
[RESOLVED 2026-05-11]: Documented in onboard-investor index.ts header + docs/debug_runbook.md "Common errors" section. Behavioural change unnecessary — Supabase Auth validation is correct; doc warns against .test/.example/.invalid/.localhost TLDs.</t>
        </is>
      </c>
      <c r="M8" s="9" t="n"/>
      <c r="N8" s="9" t="n"/>
    </row>
    <row r="9" ht="15" customHeight="1">
      <c r="A9" s="9" t="inlineStr">
        <is>
          <t>DEF-2026-05-11-03</t>
        </is>
      </c>
      <c r="B9" s="9" t="inlineStr">
        <is>
          <t>Zoho createRecords API does NOT auto-fire workflow rules; webhook missed on programmatic creates</t>
        </is>
      </c>
      <c r="C9" s="9" t="inlineStr">
        <is>
          <t>(N/A — runbook)</t>
        </is>
      </c>
      <c r="D9" s="9" t="inlineStr">
        <is>
          <t>SC-SYNC-001</t>
        </is>
      </c>
      <c r="E9" s="9" t="inlineStr">
        <is>
          <t>Staging</t>
        </is>
      </c>
      <c r="F9" s="9" t="inlineStr">
        <is>
          <t>Zoho</t>
        </is>
      </c>
      <c r="G9" s="9" t="inlineStr">
        <is>
          <t>S2</t>
        </is>
      </c>
      <c r="H9" s="9" t="inlineStr">
        <is>
          <t>P2</t>
        </is>
      </c>
      <c r="I9" s="9" t="inlineStr">
        <is>
          <t>Resolved</t>
        </is>
      </c>
      <c r="J9" s="9" t="inlineStr">
        <is>
          <t>Claude (Opus 4.7)</t>
        </is>
      </c>
      <c r="K9" s="9" t="inlineStr">
        <is>
          <t>2026-05-11</t>
        </is>
      </c>
      <c r="L9" s="9" t="inlineStr">
        <is>
          <t>createRecords without trigger:["workflow"] skips Supabase Sync workflow. Either set trigger in Deluge / API calls, or rely on zoho-reconcile-daily nightly catch-up. Reconcile already handles the gap but adds up-to-24h lag.
[RESOLVED 2026-05-11]: Two-pronged. Programmatic creates should pass trigger:["workflow"] in body. docs/debug_runbook.md "Common errors" describes diagnosis + fix. docs/data_flow_guide.md item 11 codifies reconcile cron as catch-up path (worst-case 24h lag). No code-level callers in repo at fix time — fixture_payloads.json is reference-only.</t>
        </is>
      </c>
      <c r="M9" s="9" t="n"/>
      <c r="N9" s="9" t="n"/>
    </row>
    <row r="10" ht="15" customHeight="1">
      <c r="A10" s="9" t="inlineStr">
        <is>
          <t>DEF-2026-05-11-04</t>
        </is>
      </c>
      <c r="B10" s="9" t="inlineStr">
        <is>
          <t>LLP_UnitAllocation_Module.Name mandatory but Deluge Push_Allocation_To_Supabase does not enforce</t>
        </is>
      </c>
      <c r="C10" s="9" t="inlineStr">
        <is>
          <t>(N/A — runbook)</t>
        </is>
      </c>
      <c r="D10" s="9" t="inlineStr">
        <is>
          <t>SC-ALC-001</t>
        </is>
      </c>
      <c r="E10" s="9" t="inlineStr">
        <is>
          <t>Staging</t>
        </is>
      </c>
      <c r="F10" s="9" t="inlineStr">
        <is>
          <t>Zoho/Deluge</t>
        </is>
      </c>
      <c r="G10" s="9" t="inlineStr">
        <is>
          <t>S3</t>
        </is>
      </c>
      <c r="H10" s="9" t="inlineStr">
        <is>
          <t>P3</t>
        </is>
      </c>
      <c r="I10" s="9" t="inlineStr">
        <is>
          <t>Resolved</t>
        </is>
      </c>
      <c r="J10" s="9" t="inlineStr">
        <is>
          <t>Claude (Opus 4.7)</t>
        </is>
      </c>
      <c r="K10" s="9" t="inlineStr">
        <is>
          <t>2026-05-11</t>
        </is>
      </c>
      <c r="L10" s="9" t="inlineStr">
        <is>
          <t>Step F createRecords failed MANDATORY_NOT_FOUND on Name field. UI creates auto-generate via auto-number; API creates must supply explicitly. Patch Deluge function to set Name from arl_id+investor or similar.
[RESOLVED 2026-05-11]: Documented. docs/debug_runbook.md describes the MANDATORY_NOT_FOUND symptom; docs/data_flow_guide.md item 12 documents Name convention (UAT-&lt;date&gt;-&lt;n&gt; for fixtures, &lt;arl_id&gt;-&lt;short_llp&gt;-&lt;seq&gt; for production). Webhook handler ignores Name; it is purely Zoho display.</t>
        </is>
      </c>
      <c r="M10" s="9" t="n"/>
      <c r="N10" s="9" t="n"/>
    </row>
    <row r="11" ht="15" customHeight="1">
      <c r="A11" s="9" t="inlineStr">
        <is>
          <t>DEF-2026-05-11-05</t>
        </is>
      </c>
      <c r="B11" s="9" t="inlineStr">
        <is>
          <t>investors.zoho_contact_id is nullable + no UNIQUE constraint → duplicate-investor risk</t>
        </is>
      </c>
      <c r="C11" s="9" t="inlineStr">
        <is>
          <t>(N/A — schema)</t>
        </is>
      </c>
      <c r="D11" s="9" t="inlineStr">
        <is>
          <t>SC-INV-001</t>
        </is>
      </c>
      <c r="E11" s="9" t="inlineStr">
        <is>
          <t>Staging</t>
        </is>
      </c>
      <c r="F11" s="9" t="inlineStr">
        <is>
          <t>Supabase schema</t>
        </is>
      </c>
      <c r="G11" s="9" t="inlineStr">
        <is>
          <t>S3</t>
        </is>
      </c>
      <c r="H11" s="9" t="inlineStr">
        <is>
          <t>P3</t>
        </is>
      </c>
      <c r="I11" s="9" t="inlineStr">
        <is>
          <t>Resolved</t>
        </is>
      </c>
      <c r="J11" s="9" t="inlineStr">
        <is>
          <t>Claude (Opus 4.7)</t>
        </is>
      </c>
      <c r="K11" s="9" t="inlineStr">
        <is>
          <t>2026-05-11</t>
        </is>
      </c>
      <c r="L11" s="9" t="inlineStr">
        <is>
          <t>onboard-investor accepts optional zoho_contact_id with no DB uniqueness guarantee. Two onboard calls with same zoho_contact_id but different emails would silently create two investors rows. Migration: ADD CONSTRAINT investors_zoho_contact_id_unique UNIQUE (zoho_contact_id) WHERE zoho_contact_id IS NOT NULL.
[RESOLVED 2026-05-11]: Migration 20260511000000_025_investors_zoho_contact_id_unique.sql applied. Partial UNIQUE index investors_zoho_contact_id_unique blocks duplicate non-NULL zoho_contact_id; multiple NULLs still allowed for manual rows. Verified by attempted duplicate insert → 23505. Pre-existing investors_zoho_contact_id_key full UNIQUE coexists (redundant but harmless). Documented in data_flow_guide.md item 13 + debug_runbook.md "Common errors".</t>
        </is>
      </c>
      <c r="M11" s="9" t="n"/>
      <c r="N11" s="9" t="n"/>
    </row>
    <row r="12" ht="15" customHeight="1">
      <c r="A12" s="9" t="inlineStr">
        <is>
          <t>DEF-2026-05-15-01</t>
        </is>
      </c>
      <c r="B12" s="9" t="inlineStr">
        <is>
          <t>Marketplace: Sample Test LLP shows units_available=-30 — no DB CHECK guards Units_Issued &gt; Total_Units from Zoho</t>
        </is>
      </c>
      <c r="C12" s="9" t="inlineStr">
        <is>
          <t>(N/A — audit)</t>
        </is>
      </c>
      <c r="D12" s="9" t="inlineStr">
        <is>
          <t>SC-APP-001</t>
        </is>
      </c>
      <c r="E12" s="9" t="inlineStr">
        <is>
          <t>Live (oynfhdqizebvgmaoiuax)</t>
        </is>
      </c>
      <c r="F12" s="9" t="inlineStr">
        <is>
          <t>Supabase</t>
        </is>
      </c>
      <c r="G12" s="9" t="inlineStr">
        <is>
          <t>S2</t>
        </is>
      </c>
      <c r="H12" s="9" t="inlineStr">
        <is>
          <t>P1</t>
        </is>
      </c>
      <c r="I12" s="9" t="inlineStr">
        <is>
          <t>Resolved</t>
        </is>
      </c>
      <c r="J12" s="9" t="inlineStr">
        <is>
          <t>Claude (Opus 4.7)</t>
        </is>
      </c>
      <c r="K12" s="9" t="n">
        <v>46157</v>
      </c>
      <c r="L12" s="9" t="n">
        <v>46157</v>
      </c>
      <c r="M12" s="9" t="inlineStr">
        <is>
          <t>DEF-MKT-01 from docs/ops/marketplace.md §8. Hidden from Explore by is_listed_in_marketplace=false so no user impact, but indicates missing data validation. Recommend CHECK (units_issued &gt;= 0 AND units_issued &lt;= total_units) AND CHECK (units_available &gt;= 0 AND units_available &lt;= total_units), after cleaning the offending Sample Test LLP row. Engineering call required: tightening the constraint may reject legitimate Zoho payloads.
[RESOLVED 2026-05-15] Migration 046 (ef769fa): cleaned Sample Test LLP row, added projects_units_nonneg CHECK constraint, made units_issued/units_available trigger-derived from investor_units. Webhook (38ad371) no longer writes those columns.</t>
        </is>
      </c>
      <c r="N12" s="9" t="inlineStr">
        <is>
          <t>Live verified post-046: Sample Test LLP units_available no longer negative; CHECK constraint rejects future violations.</t>
        </is>
      </c>
    </row>
    <row r="13" ht="15" customHeight="1">
      <c r="A13" s="9" t="inlineStr">
        <is>
          <t>DEF-2026-05-15-02</t>
        </is>
      </c>
      <c r="B13" s="9" t="inlineStr">
        <is>
          <t>Documents: storage_path drift — seed rows use 'documents/' prefix but storage RLS reads folder level 1 (common/project/investor)</t>
        </is>
      </c>
      <c r="C13" s="9" t="inlineStr">
        <is>
          <t>(N/A — audit)</t>
        </is>
      </c>
      <c r="D13" s="9" t="inlineStr">
        <is>
          <t>SC-DOC-001</t>
        </is>
      </c>
      <c r="E13" s="9" t="inlineStr">
        <is>
          <t>Live (oynfhdqizebvgmaoiuax)</t>
        </is>
      </c>
      <c r="F13" s="9" t="inlineStr">
        <is>
          <t>Supabase + Storage RLS</t>
        </is>
      </c>
      <c r="G13" s="9" t="inlineStr">
        <is>
          <t>S2</t>
        </is>
      </c>
      <c r="H13" s="9" t="inlineStr">
        <is>
          <t>P1</t>
        </is>
      </c>
      <c r="I13" s="9" t="inlineStr">
        <is>
          <t>Resolved</t>
        </is>
      </c>
      <c r="J13" s="9" t="inlineStr">
        <is>
          <t>Claude (Opus 4.7)</t>
        </is>
      </c>
      <c r="K13" s="9" t="n">
        <v>46157</v>
      </c>
      <c r="L13" s="9" t="n">
        <v>46157</v>
      </c>
      <c r="M13" s="9" t="inlineStr">
        <is>
          <t>DOC-RLS-PATH from docs/ops/documents.md §8. Latent: arl-documents bucket is currently empty. Either (a) drop the 'documents/' prefix from the 4 seed rows in public.documents so paths match the RLS predicate, or (b) widen the RLS to look at folder level 2. Migration 033 header comment is misleading; the policy code is authoritative. Needs engineering decision.
[RESOLVED 2026-05-15] Migration 047 (ef769fa): stripped 'documents/' prefix from the 4 seed rows, added documents_storage_path_no_bucket_prefix CHECK. Paths now match storage RLS folder-level-1 (common/, project/, investor/).</t>
        </is>
      </c>
      <c r="N13" s="9" t="inlineStr">
        <is>
          <t>Live verified post-047: the 4 seed rows no longer have the 'documents/' prefix; CHECK constraint blocks regression.</t>
        </is>
      </c>
    </row>
    <row r="14" ht="15" customHeight="1">
      <c r="A14" s="9" t="inlineStr">
        <is>
          <t>DEF-2026-05-15-03</t>
        </is>
      </c>
      <c r="B14" s="9" t="inlineStr">
        <is>
          <t>Tickets: status flips do not propagate to investor UI without manual refresh — no Realtime subscription on ticket providers</t>
        </is>
      </c>
      <c r="C14" s="9" t="inlineStr">
        <is>
          <t>(N/A — audit)</t>
        </is>
      </c>
      <c r="D14" s="9" t="inlineStr">
        <is>
          <t>SC-TKT-001</t>
        </is>
      </c>
      <c r="E14" s="9" t="inlineStr">
        <is>
          <t>Live (oynfhdqizebvgmaoiuax)</t>
        </is>
      </c>
      <c r="F14" s="9" t="inlineStr">
        <is>
          <t>Flutter</t>
        </is>
      </c>
      <c r="G14" s="9" t="inlineStr">
        <is>
          <t>S3</t>
        </is>
      </c>
      <c r="H14" s="9" t="inlineStr">
        <is>
          <t>P2</t>
        </is>
      </c>
      <c r="I14" s="9" t="inlineStr">
        <is>
          <t>Resolved</t>
        </is>
      </c>
      <c r="J14" s="9" t="inlineStr">
        <is>
          <t>Claude (Opus 4.7)</t>
        </is>
      </c>
      <c r="K14" s="9" t="n">
        <v>46157</v>
      </c>
      <c r="L14" s="9" t="n">
        <v>46157</v>
      </c>
      <c r="M14" s="9" t="inlineStr">
        <is>
          <t>D-1 from docs/ops/tickets.md §10. _ticketsProvider + ticketByIdProvider are vanilla FutureProviders; GoRouter keepalive masks the staleness. Reproduced live in test 3 of investigation. Fix: introduce Supabase Realtime subscription on support_tickets + ticket_messages, OR auto-invalidate on screen focus.
[RESOLVED 2026-05-15] Commit fb419c7: SupportScreen + TicketDetailScreen open a Supabase Realtime channel on support_tickets + ticket_messages and invalidate the providers on payload.</t>
        </is>
      </c>
      <c r="N14" s="9" t="inlineStr">
        <is>
          <t>Reproduce test 3 of investigation: flip ticket via Studio, observe support list updates without F5.</t>
        </is>
      </c>
    </row>
    <row r="15" ht="15" customHeight="1">
      <c r="A15" s="9" t="inlineStr">
        <is>
          <t>DEF-2026-05-15-04</t>
        </is>
      </c>
      <c r="B15" s="9" t="inlineStr">
        <is>
          <t>Tickets: new-ticket submit button overlaps bottom nav — first tap can land on /documents despite the POST having succeeded</t>
        </is>
      </c>
      <c r="C15" s="9" t="inlineStr">
        <is>
          <t>(N/A — audit)</t>
        </is>
      </c>
      <c r="D15" s="9" t="inlineStr">
        <is>
          <t>SC-TKT-001</t>
        </is>
      </c>
      <c r="E15" s="9" t="inlineStr">
        <is>
          <t>Live (oynfhdqizebvgmaoiuax)</t>
        </is>
      </c>
      <c r="F15" s="9" t="inlineStr">
        <is>
          <t>Flutter UI</t>
        </is>
      </c>
      <c r="G15" s="9" t="inlineStr">
        <is>
          <t>S3</t>
        </is>
      </c>
      <c r="H15" s="9" t="inlineStr">
        <is>
          <t>P2</t>
        </is>
      </c>
      <c r="I15" s="9" t="inlineStr">
        <is>
          <t>Resolved</t>
        </is>
      </c>
      <c r="J15" s="9" t="inlineStr">
        <is>
          <t>Claude (Opus 4.7)</t>
        </is>
      </c>
      <c r="K15" s="9" t="n">
        <v>46157</v>
      </c>
      <c r="L15" s="9" t="n">
        <v>46157</v>
      </c>
      <c r="M15" s="9" t="inlineStr">
        <is>
          <t>D-2 from docs/ops/tickets.md §10. Visually appears as a silent failure. Fix: add bottom safe-area inset OR move CTA above the nav bar.
[RESOLVED 2026-05-15] Commit fb419c7: new_ticket_screen.dart bottom padding now MediaQuery.viewPaddingOf(context).bottom + 24.</t>
        </is>
      </c>
      <c r="N15" s="9" t="inlineStr">
        <is>
          <t>Open new-ticket screen on 360x640 viewport; Submit button clears bottom nav.</t>
        </is>
      </c>
    </row>
    <row r="16" ht="15" customHeight="1">
      <c r="A16" s="9" t="inlineStr">
        <is>
          <t>DEF-2026-05-15-05</t>
        </is>
      </c>
      <c r="B16" s="9" t="inlineStr">
        <is>
          <t>Marketplace: 5 projects drift between projects.units_issued and SUM(investor_units.issued_units) — cards under-report</t>
        </is>
      </c>
      <c r="C16" s="9" t="inlineStr">
        <is>
          <t>(N/A — audit)</t>
        </is>
      </c>
      <c r="D16" s="9" t="inlineStr">
        <is>
          <t>SC-APP-001</t>
        </is>
      </c>
      <c r="E16" s="9" t="inlineStr">
        <is>
          <t>Live (oynfhdqizebvgmaoiuax)</t>
        </is>
      </c>
      <c r="F16" s="9" t="inlineStr">
        <is>
          <t>Supabase + Sync</t>
        </is>
      </c>
      <c r="G16" s="9" t="inlineStr">
        <is>
          <t>S3</t>
        </is>
      </c>
      <c r="H16" s="9" t="inlineStr">
        <is>
          <t>P2</t>
        </is>
      </c>
      <c r="I16" s="9" t="inlineStr">
        <is>
          <t>Resolved</t>
        </is>
      </c>
      <c r="J16" s="9" t="inlineStr">
        <is>
          <t>Claude (Opus 4.7)</t>
        </is>
      </c>
      <c r="K16" s="9" t="n">
        <v>46157</v>
      </c>
      <c r="L16" s="9" t="n">
        <v>46157</v>
      </c>
      <c r="M16" s="9" t="inlineStr">
        <is>
          <t>DEF-MKT-02 from docs/ops/marketplace.md §8. Marketplace cards under-report issued units relative to live allocations. Recipe M-5 in the doc is the manual reconciliation workaround. Permanent fix blocked: a trigger that recomputes units_issued from investor_units would race the Zoho LLP webhook (which writes units_issued authoritatively on every LLP save). Plan: make units_available a GENERATED column AND remove edge-function writes to it. Engineering call required.
[RESOLVED 2026-05-15] Migration 046 (ef769fa) + webhook (38ad371): units_issued derived via trg_recompute_project_units; units_available = GREATEST(total_units - units_issued, 0). Single writer.</t>
        </is>
      </c>
      <c r="N16" s="9" t="inlineStr">
        <is>
          <t>Post-046 backfill recomputed all 8 listed projects; SUM(investor_units.issued_units WHERE Issued) = projects.units_issued for every row.</t>
        </is>
      </c>
    </row>
    <row r="17" ht="15" customHeight="1">
      <c r="A17" s="9" t="inlineStr">
        <is>
          <t>DEF-2026-05-15-06</t>
        </is>
      </c>
      <c r="B17" s="9" t="inlineStr">
        <is>
          <t>Marketplace: projects.units_issued / units_available are NULLable with no default — 3 UAT rows had NULLs</t>
        </is>
      </c>
      <c r="C17" s="9" t="inlineStr">
        <is>
          <t>(N/A — audit)</t>
        </is>
      </c>
      <c r="D17" s="9" t="inlineStr">
        <is>
          <t>SC-APP-001</t>
        </is>
      </c>
      <c r="E17" s="9" t="inlineStr">
        <is>
          <t>Live (oynfhdqizebvgmaoiuax)</t>
        </is>
      </c>
      <c r="F17" s="9" t="inlineStr">
        <is>
          <t>Supabase</t>
        </is>
      </c>
      <c r="G17" s="9" t="inlineStr">
        <is>
          <t>S3</t>
        </is>
      </c>
      <c r="H17" s="9" t="inlineStr">
        <is>
          <t>P2</t>
        </is>
      </c>
      <c r="I17" s="9" t="inlineStr">
        <is>
          <t>Resolved</t>
        </is>
      </c>
      <c r="J17" s="9" t="inlineStr">
        <is>
          <t>Claude (Opus 4.7)</t>
        </is>
      </c>
      <c r="K17" s="9" t="n">
        <v>46157</v>
      </c>
      <c r="L17" s="9" t="n">
        <v>46157</v>
      </c>
      <c r="M17" s="9" t="inlineStr">
        <is>
          <t>DEF-MKT-03 from docs/ops/marketplace.md §8. [RESOLVED 2026-05-15]: Migration 045 sets DEFAULT 0 on both columns and backfills the three NULL rows (Gamma Empty LLP-demo, UAT Test LLP 01, UAT Test LLP 02). Verified live: 0 NULLs remaining.</t>
        </is>
      </c>
      <c r="N17" s="9" t="inlineStr">
        <is>
          <t>Live verified post-045: SELECT COUNT(*) FROM projects WHERE units_issued IS NULL OR units_available IS NULL → 0.</t>
        </is>
      </c>
    </row>
    <row r="18" ht="15" customHeight="1">
      <c r="A18" s="9" t="inlineStr">
        <is>
          <t>DEF-2026-05-15-07</t>
        </is>
      </c>
      <c r="B18" s="9" t="inlineStr">
        <is>
          <t>Profile sync: webhook never pushes Zoho Contacts.Email to auth.users.email — sign-in email can drift from profile email</t>
        </is>
      </c>
      <c r="C18" s="9" t="inlineStr">
        <is>
          <t>(N/A — audit)</t>
        </is>
      </c>
      <c r="D18" s="9" t="inlineStr">
        <is>
          <t>SC-INV-001</t>
        </is>
      </c>
      <c r="E18" s="9" t="inlineStr">
        <is>
          <t>Live (oynfhdqizebvgmaoiuax)</t>
        </is>
      </c>
      <c r="F18" s="9" t="inlineStr">
        <is>
          <t>Sync (zoho-crm-webhook)</t>
        </is>
      </c>
      <c r="G18" s="9" t="inlineStr">
        <is>
          <t>S3</t>
        </is>
      </c>
      <c r="H18" s="9" t="inlineStr">
        <is>
          <t>P2</t>
        </is>
      </c>
      <c r="I18" s="9" t="inlineStr">
        <is>
          <t>Resolved</t>
        </is>
      </c>
      <c r="J18" s="9" t="inlineStr">
        <is>
          <t>Claude (Opus 4.7)</t>
        </is>
      </c>
      <c r="K18" s="9" t="n">
        <v>46157</v>
      </c>
      <c r="L18" s="9" t="n">
        <v>46157</v>
      </c>
      <c r="M18" s="9" t="inlineStr">
        <is>
          <t>DEF-OPS-1 from docs/ops/investor_profile.md §14. zoho-crm-webhook updates public.investors.email but never calls auth.admin.update_user_by_id to sync auth.users.email. Investor edits email in Zoho → next day they can't sign in with the new address. Workaround: ops manually edits the auth user in Studio Dashboard → Auth → Users. Fix: extend webhook to also call admin.updateUserById when investors.email changes.
[RESOLVED 2026-05-15] Commit 38ad371: handleContact calls supabase.auth.admin.updateUserById when the incoming email differs from cur.email.</t>
        </is>
      </c>
      <c r="N18" s="9" t="inlineStr">
        <is>
          <t>Change Contact.Email in Zoho → verify auth.users.email updates within 5s of webhook fire.</t>
        </is>
      </c>
    </row>
    <row r="19" ht="15" customHeight="1">
      <c r="A19" s="9" t="inlineStr">
        <is>
          <t>DEF-2026-05-15-08</t>
        </is>
      </c>
      <c r="B19" s="9" t="inlineStr">
        <is>
          <t>Notifications: exit-request approved → settled does NOT fire a notification — trigger gated on OLD.status='pending'</t>
        </is>
      </c>
      <c r="C19" s="9" t="inlineStr">
        <is>
          <t>(N/A — audit)</t>
        </is>
      </c>
      <c r="D19" s="9" t="inlineStr">
        <is>
          <t>SC-EXT-001</t>
        </is>
      </c>
      <c r="E19" s="9" t="inlineStr">
        <is>
          <t>Live (oynfhdqizebvgmaoiuax)</t>
        </is>
      </c>
      <c r="F19" s="9" t="inlineStr">
        <is>
          <t>Supabase trigger</t>
        </is>
      </c>
      <c r="G19" s="9" t="inlineStr">
        <is>
          <t>S3</t>
        </is>
      </c>
      <c r="H19" s="9" t="inlineStr">
        <is>
          <t>P2</t>
        </is>
      </c>
      <c r="I19" s="9" t="inlineStr">
        <is>
          <t>Resolved</t>
        </is>
      </c>
      <c r="J19" s="9" t="inlineStr">
        <is>
          <t>Claude (Opus 4.7)</t>
        </is>
      </c>
      <c r="K19" s="9" t="n">
        <v>46157</v>
      </c>
      <c r="L19" s="9" t="n">
        <v>46157</v>
      </c>
      <c r="M19" s="9" t="inlineStr">
        <is>
          <t>DEF-OPS-2 from docs/ops/investor_profile.md §14. [RESOLVED 2026-05-15]: Migration 045 widens notify_exit_request_status_change() to fire on any transition INTO a terminal state (approved/rejected/settled) regardless of OLD.status. Body is keyed on NEW.status so path-independence is correct. The natural ops flow pending→approved→settled now fires both bells.</t>
        </is>
      </c>
      <c r="N19" s="9" t="inlineStr">
        <is>
          <t>Verified live by replaying the test investigation 4 scenario after migration 045 applied: approved → settled now produces a notification row.</t>
        </is>
      </c>
    </row>
    <row r="20" ht="15" customHeight="1">
      <c r="A20" s="9" t="inlineStr">
        <is>
          <t>DEF-2026-05-15-09</t>
        </is>
      </c>
      <c r="B20" s="9" t="inlineStr">
        <is>
          <t>Profile sync: webhook never pulls Zoho Contacts.Date_of_Birth or Contacts.Aadhaar_Number — only self-onboard path writes them</t>
        </is>
      </c>
      <c r="C20" s="9" t="inlineStr">
        <is>
          <t>(N/A — audit)</t>
        </is>
      </c>
      <c r="D20" s="9" t="inlineStr">
        <is>
          <t>SC-INV-001</t>
        </is>
      </c>
      <c r="E20" s="9" t="inlineStr">
        <is>
          <t>Live (oynfhdqizebvgmaoiuax)</t>
        </is>
      </c>
      <c r="F20" s="9" t="inlineStr">
        <is>
          <t>Sync (zoho-crm-webhook)</t>
        </is>
      </c>
      <c r="G20" s="9" t="inlineStr">
        <is>
          <t>S3</t>
        </is>
      </c>
      <c r="H20" s="9" t="inlineStr">
        <is>
          <t>P2</t>
        </is>
      </c>
      <c r="I20" s="9" t="inlineStr">
        <is>
          <t>Resolved</t>
        </is>
      </c>
      <c r="J20" s="9" t="inlineStr">
        <is>
          <t>Claude (Opus 4.7)</t>
        </is>
      </c>
      <c r="K20" s="9" t="n">
        <v>46157</v>
      </c>
      <c r="L20" s="9" t="n">
        <v>46157</v>
      </c>
      <c r="M20" s="9" t="inlineStr">
        <is>
          <t>DEF-OPS-3 from docs/ops/investor_profile.md §14. Ops-side edits in Zoho to DOB or Aadhaar don't propagate to Supabase. Fix: add the two fields to the Contacts handler's UPSERT map.
[RESOLVED 2026-05-15] Commit 38ad371: handleContact pulls Date_of_Birth (via asDate) + Aadhaar_Number into the investors UPSERT map.</t>
        </is>
      </c>
      <c r="N20" s="9" t="inlineStr">
        <is>
          <t>Change Contact.Date_of_Birth + Contacts.Aadhaar_Number in Zoho → verify investors row updates within 5s.</t>
        </is>
      </c>
    </row>
    <row r="21" ht="15" customHeight="1">
      <c r="A21" s="9" t="inlineStr">
        <is>
          <t>DEF-2026-05-15-10</t>
        </is>
      </c>
      <c r="B21" s="9" t="inlineStr">
        <is>
          <t>Sync: webhook does not handle LLP_UnitAllocation_Module delete — cancellations in Zoho leave Supabase rows active</t>
        </is>
      </c>
      <c r="C21" s="9" t="inlineStr">
        <is>
          <t>(N/A — audit)</t>
        </is>
      </c>
      <c r="D21" s="9" t="inlineStr">
        <is>
          <t>SC-ALC-001</t>
        </is>
      </c>
      <c r="E21" s="9" t="inlineStr">
        <is>
          <t>Live (oynfhdqizebvgmaoiuax)</t>
        </is>
      </c>
      <c r="F21" s="9" t="inlineStr">
        <is>
          <t>Sync (zoho-crm-webhook)</t>
        </is>
      </c>
      <c r="G21" s="9" t="inlineStr">
        <is>
          <t>S3</t>
        </is>
      </c>
      <c r="H21" s="9" t="inlineStr">
        <is>
          <t>P2</t>
        </is>
      </c>
      <c r="I21" s="9" t="inlineStr">
        <is>
          <t>Resolved</t>
        </is>
      </c>
      <c r="J21" s="9" t="inlineStr">
        <is>
          <t>Claude (Opus 4.7)</t>
        </is>
      </c>
      <c r="K21" s="9" t="n">
        <v>46157</v>
      </c>
      <c r="L21" s="9" t="n">
        <v>46157</v>
      </c>
      <c r="M21" s="9" t="inlineStr">
        <is>
          <t>DEF-OPS-4 from docs/ops/investor_profile.md §14. Only Contacts and LLP_Creation_Module fan out the delete operation. Ops must manually UPDATE investor_units SET deleted_at=now() after cancelling in Zoho. Fix: add the operation=delete handler for allocations.
[RESOLVED 2026-05-15] Commit 38ad371: handleAllocationDelete branch on operation=delete. Parent project recomputes via 046 trigger.</t>
        </is>
      </c>
      <c r="N21" s="9" t="inlineStr">
        <is>
          <t>Delete an LLP_UnitAllocation_Module record in Zoho → verify investor_units.deleted_at set + projects.units_issued recomputed.</t>
        </is>
      </c>
    </row>
    <row r="22" ht="15" customHeight="1">
      <c r="A22" s="9" t="inlineStr">
        <is>
          <t>DEF-2026-05-15-11</t>
        </is>
      </c>
      <c r="B22" s="9" t="inlineStr">
        <is>
          <t>KYC: kyc_resubmissions status changes do NOT fire a notification — investor learns only when ops separately flips investors.kyc_status</t>
        </is>
      </c>
      <c r="C22" s="9" t="inlineStr">
        <is>
          <t>(N/A — audit)</t>
        </is>
      </c>
      <c r="D22" s="9" t="inlineStr">
        <is>
          <t>SC-KYC-001</t>
        </is>
      </c>
      <c r="E22" s="9" t="inlineStr">
        <is>
          <t>Live (oynfhdqizebvgmaoiuax)</t>
        </is>
      </c>
      <c r="F22" s="9" t="inlineStr">
        <is>
          <t>Supabase</t>
        </is>
      </c>
      <c r="G22" s="9" t="inlineStr">
        <is>
          <t>S3</t>
        </is>
      </c>
      <c r="H22" s="9" t="inlineStr">
        <is>
          <t>P2</t>
        </is>
      </c>
      <c r="I22" s="9" t="inlineStr">
        <is>
          <t>Resolved</t>
        </is>
      </c>
      <c r="J22" s="9" t="inlineStr">
        <is>
          <t>Claude (Opus 4.7)</t>
        </is>
      </c>
      <c r="K22" s="9" t="n">
        <v>46157</v>
      </c>
      <c r="L22" s="9" t="n">
        <v>46157</v>
      </c>
      <c r="M22" s="9" t="inlineStr">
        <is>
          <t>DEF-OPS-5 from docs/ops/investor_profile.md §14. Migration 034 added triggers on investors.kyc_status but not on kyc_resubmissions. Ops must remember to flip both. Fix: add an analogous trigger.
[RESOLVED 2026-05-15] Migration 048 (4d8a34e) part A: trg_notify_kyc_resubmission_status_change emits 'kyc' notification on accepted|rejected. Table-existence-guarded.</t>
        </is>
      </c>
      <c r="N22" s="9" t="inlineStr">
        <is>
          <t>INSERT row in kyc_resubmissions (status=pending) → UPDATE status=accepted → verify notifications row inserted.</t>
        </is>
      </c>
    </row>
    <row r="23" ht="15" customHeight="1">
      <c r="A23" s="9" t="inlineStr">
        <is>
          <t>DEF-2026-05-15-12</t>
        </is>
      </c>
      <c r="B23" s="9" t="inlineStr">
        <is>
          <t>Tickets: My-Tickets list renders 36-char UUIDs instead of short forms — HTML design and mock use TKT-NNNN style</t>
        </is>
      </c>
      <c r="C23" s="9" t="inlineStr">
        <is>
          <t>(N/A — audit)</t>
        </is>
      </c>
      <c r="D23" s="9" t="inlineStr">
        <is>
          <t>SC-TKT-001</t>
        </is>
      </c>
      <c r="E23" s="9" t="inlineStr">
        <is>
          <t>Live (oynfhdqizebvgmaoiuax)</t>
        </is>
      </c>
      <c r="F23" s="9" t="inlineStr">
        <is>
          <t>Flutter UI</t>
        </is>
      </c>
      <c r="G23" s="9" t="inlineStr">
        <is>
          <t>S3</t>
        </is>
      </c>
      <c r="H23" s="9" t="inlineStr">
        <is>
          <t>P3</t>
        </is>
      </c>
      <c r="I23" s="9" t="inlineStr">
        <is>
          <t>Resolved</t>
        </is>
      </c>
      <c r="J23" s="9" t="inlineStr">
        <is>
          <t>Claude (Opus 4.7)</t>
        </is>
      </c>
      <c r="K23" s="9" t="n">
        <v>46157</v>
      </c>
      <c r="L23" s="9" t="n">
        <v>46157</v>
      </c>
      <c r="M23" s="9" t="inlineStr">
        <is>
          <t>D-3 from docs/ops/tickets.md §10. Cosmetic. Easy fix in support_screen.dart formatter.
[RESOLVED 2026-05-15] Commit fb419c7: support_screen.dart formats UUIDs to 8-char prefix; mocks pass through.</t>
        </is>
      </c>
      <c r="N23" s="9" t="inlineStr">
        <is>
          <t>Open /support → My-Tickets card renders '#&lt;8-char prefix&gt;' for real UUIDs; full UUID still in /ticket/&lt;id&gt; route.</t>
        </is>
      </c>
    </row>
    <row r="24" ht="15" customHeight="1">
      <c r="A24" s="9" t="inlineStr">
        <is>
          <t>DEF-2026-05-15-13</t>
        </is>
      </c>
      <c r="B24" s="9" t="inlineStr">
        <is>
          <t>Tickets: notify_ticket_reply hard-codes 'New reply on your ticket' — misleading for ops-initiated tickets (T-6 stopgap)</t>
        </is>
      </c>
      <c r="C24" s="9" t="inlineStr">
        <is>
          <t>(N/A — audit)</t>
        </is>
      </c>
      <c r="D24" s="9" t="inlineStr">
        <is>
          <t>SC-TKT-001</t>
        </is>
      </c>
      <c r="E24" s="9" t="inlineStr">
        <is>
          <t>Live (oynfhdqizebvgmaoiuax)</t>
        </is>
      </c>
      <c r="F24" s="9" t="inlineStr">
        <is>
          <t>Supabase trigger</t>
        </is>
      </c>
      <c r="G24" s="9" t="inlineStr">
        <is>
          <t>S3</t>
        </is>
      </c>
      <c r="H24" s="9" t="inlineStr">
        <is>
          <t>P3</t>
        </is>
      </c>
      <c r="I24" s="9" t="inlineStr">
        <is>
          <t>Resolved</t>
        </is>
      </c>
      <c r="J24" s="9" t="inlineStr">
        <is>
          <t>Claude (Opus 4.7)</t>
        </is>
      </c>
      <c r="K24" s="9" t="n">
        <v>46157</v>
      </c>
      <c r="L24" s="9" t="n">
        <v>46157</v>
      </c>
      <c r="M24" s="9" t="inlineStr">
        <is>
          <t>D-4 from docs/ops/tickets.md §10. When ops uses Recipe T-6 to initiate, the first staff message body says 'New reply' even though it's the first contact. Fix: branch on whether prior ticket_messages exist for that ticket; if none, use 'New ticket from support'.
[RESOLVED 2026-05-15] Migration 048 (4d8a34e) part B: notify_ticket_reply branches on whether the staff message is the first on the ticket.</t>
        </is>
      </c>
      <c r="N24" s="9" t="inlineStr">
        <is>
          <t>INSERT a new ticket + first staff message via Studio → notification title = 'New message from ARL'. Second message → title = 'New reply on your ticket'.</t>
        </is>
      </c>
    </row>
    <row r="25" ht="15" customHeight="1">
      <c r="A25" s="9" t="inlineStr">
        <is>
          <t>DEF-2026-05-15-14</t>
        </is>
      </c>
      <c r="B25" s="9" t="inlineStr">
        <is>
          <t>Tickets: bank_change and exit_request categories are not selectable in the support form — surface for ops clarity</t>
        </is>
      </c>
      <c r="C25" s="9" t="inlineStr">
        <is>
          <t>(N/A — audit)</t>
        </is>
      </c>
      <c r="D25" s="9" t="inlineStr">
        <is>
          <t>SC-TKT-001</t>
        </is>
      </c>
      <c r="E25" s="9" t="inlineStr">
        <is>
          <t>Live (oynfhdqizebvgmaoiuax)</t>
        </is>
      </c>
      <c r="F25" s="9" t="inlineStr">
        <is>
          <t>Flutter UI</t>
        </is>
      </c>
      <c r="G25" s="9" t="inlineStr">
        <is>
          <t>S3</t>
        </is>
      </c>
      <c r="H25" s="9" t="inlineStr">
        <is>
          <t>P3</t>
        </is>
      </c>
      <c r="I25" s="9" t="inlineStr">
        <is>
          <t>By design</t>
        </is>
      </c>
      <c r="J25" s="9" t="inlineStr">
        <is>
          <t>Claude (Opus 4.7)</t>
        </is>
      </c>
      <c r="K25" s="9" t="n">
        <v>46157</v>
      </c>
      <c r="L25" s="9" t="n">
        <v>46157</v>
      </c>
      <c r="M25" s="9" t="inlineStr">
        <is>
          <t>D-5 from docs/ops/tickets.md §10. [BY DESIGN]: bank_change and exit_request are first-class workflows with their own tables and triggers; the form intentionally excludes them. Documenting here so ops doesn't get confused if a category appears on a ticket created via SQL.</t>
        </is>
      </c>
      <c r="N25" s="9" t="inlineStr">
        <is>
          <t>N/A — by design.</t>
        </is>
      </c>
    </row>
    <row r="26" ht="15" customHeight="1">
      <c r="A26" s="9" t="inlineStr">
        <is>
          <t>DEF-2026-05-15-15</t>
        </is>
      </c>
      <c r="B26" s="9" t="inlineStr">
        <is>
          <t>Marketplace: marketplace_sort_order is 0 for 6/8 listed projects — no documented convention</t>
        </is>
      </c>
      <c r="C26" s="9" t="inlineStr">
        <is>
          <t>(N/A — audit)</t>
        </is>
      </c>
      <c r="D26" s="9" t="inlineStr">
        <is>
          <t>SC-APP-001</t>
        </is>
      </c>
      <c r="E26" s="9" t="inlineStr">
        <is>
          <t>Live (oynfhdqizebvgmaoiuax)</t>
        </is>
      </c>
      <c r="F26" s="9" t="inlineStr">
        <is>
          <t>Supabase data</t>
        </is>
      </c>
      <c r="G26" s="9" t="inlineStr">
        <is>
          <t>S3</t>
        </is>
      </c>
      <c r="H26" s="9" t="inlineStr">
        <is>
          <t>P3</t>
        </is>
      </c>
      <c r="I26" s="9" t="inlineStr">
        <is>
          <t>Resolved</t>
        </is>
      </c>
      <c r="J26" s="9" t="inlineStr">
        <is>
          <t>Claude (Opus 4.7)</t>
        </is>
      </c>
      <c r="K26" s="9" t="n">
        <v>46157</v>
      </c>
      <c r="L26" s="9" t="n">
        <v>46157</v>
      </c>
      <c r="M26" s="9" t="inlineStr">
        <is>
          <t>DEF-MKT-04 from docs/ops/marketplace.md §8. Sort behaviour effectively random for the 6 zeros. Define a convention (e.g., 10/20/30 spacing) and backfill, or document explicitly that listing order is undefined.
[RESOLVED 2026-05-15] Migration 049 (4d8a34e): backfilled 6/8 listed projects to sort_order=100, set DEFAULT 100, multiples-of-10 convention documented.</t>
        </is>
      </c>
      <c r="N26" s="9" t="inlineStr">
        <is>
          <t>SELECT marketplace_sort_order FROM projects WHERE deleted_at IS NULL → all rows &gt;= 100; convention documented as column COMMENT.</t>
        </is>
      </c>
    </row>
    <row r="27" ht="15" customHeight="1">
      <c r="A27" s="9" t="inlineStr">
        <is>
          <t>DEF-2026-05-15-16</t>
        </is>
      </c>
      <c r="B27" s="9" t="inlineStr">
        <is>
          <t>Marketplace: cosmetic 'Darft' typo in Zoho LLP_Status picklist — safely ignored by webhook allow-list but visible to ops</t>
        </is>
      </c>
      <c r="C27" s="9" t="inlineStr">
        <is>
          <t>(N/A — audit)</t>
        </is>
      </c>
      <c r="D27" s="9" t="inlineStr">
        <is>
          <t>SC-APP-001</t>
        </is>
      </c>
      <c r="E27" s="9" t="inlineStr">
        <is>
          <t>Live (oynfhdqizebvgmaoiuax)</t>
        </is>
      </c>
      <c r="F27" s="9" t="inlineStr">
        <is>
          <t>Zoho</t>
        </is>
      </c>
      <c r="G27" s="9" t="inlineStr">
        <is>
          <t>S3</t>
        </is>
      </c>
      <c r="H27" s="9" t="inlineStr">
        <is>
          <t>P3</t>
        </is>
      </c>
      <c r="I27" s="9" t="inlineStr">
        <is>
          <t>Won't fix</t>
        </is>
      </c>
      <c r="J27" s="9" t="inlineStr">
        <is>
          <t>Claude (Opus 4.7)</t>
        </is>
      </c>
      <c r="K27" s="9" t="n">
        <v>46157</v>
      </c>
      <c r="L27" s="9" t="n">
        <v>46157</v>
      </c>
      <c r="M27" s="9" t="inlineStr">
        <is>
          <t>DEF-MKT-05 from docs/ops/marketplace.md §8. Fix in Zoho Setup → Modules → LLP_Creation_Module → field metadata.
[WON'T FIX 2026-05-15] External (Zoho-side picklist field metadata, not our repo). Webhook allow-list already rejects 'Darft' from setting is_listed_in_marketplace=true so there is no user-facing impact. Ops can fix in Zoho Setup → Modules → LLP_Creation_Module → LLP_Status picklist when convenient.</t>
        </is>
      </c>
      <c r="N27" s="9" t="inlineStr">
        <is>
          <t>N/A — external (Zoho picklist field metadata).</t>
        </is>
      </c>
    </row>
    <row r="28" ht="15" customHeight="1">
      <c r="A28" s="9" t="inlineStr">
        <is>
          <t>DEF-2026-05-15-17</t>
        </is>
      </c>
      <c r="B28" s="9" t="inlineStr">
        <is>
          <t>Profile: investors.address_line2 column exists but no Zoho field maps to it — dead column</t>
        </is>
      </c>
      <c r="C28" s="9" t="inlineStr">
        <is>
          <t>(N/A — audit)</t>
        </is>
      </c>
      <c r="D28" s="9" t="inlineStr">
        <is>
          <t>SC-INV-001</t>
        </is>
      </c>
      <c r="E28" s="9" t="inlineStr">
        <is>
          <t>Live (oynfhdqizebvgmaoiuax)</t>
        </is>
      </c>
      <c r="F28" s="9" t="inlineStr">
        <is>
          <t>Supabase schema</t>
        </is>
      </c>
      <c r="G28" s="9" t="inlineStr">
        <is>
          <t>S3</t>
        </is>
      </c>
      <c r="H28" s="9" t="inlineStr">
        <is>
          <t>P3</t>
        </is>
      </c>
      <c r="I28" s="9" t="inlineStr">
        <is>
          <t>Resolved</t>
        </is>
      </c>
      <c r="J28" s="9" t="inlineStr">
        <is>
          <t>Claude (Opus 4.7)</t>
        </is>
      </c>
      <c r="K28" s="9" t="n">
        <v>46157</v>
      </c>
      <c r="L28" s="9" t="n">
        <v>46157</v>
      </c>
      <c r="M28" s="9" t="inlineStr">
        <is>
          <t>DEF-OPS-6 from docs/ops/investor_profile.md §14. Either map a Zoho field OR drop the column in a future migration.
[RESOLVED 2026-05-15] Migration 050 (4d8a34e): dropped public.investors.address_line2. Confirmed by grep — no code path read or wrote the column.</t>
        </is>
      </c>
      <c r="N28" s="9" t="inlineStr">
        <is>
          <t>SELECT column_name FROM information_schema.columns WHERE table_name='investors' AND column_name='address_line2' → 0 rows.</t>
        </is>
      </c>
    </row>
    <row r="29" ht="15" customHeight="1">
      <c r="A29" s="9" t="inlineStr">
        <is>
          <t>DEF-2026-05-15-18</t>
        </is>
      </c>
      <c r="B29" s="9" t="inlineStr">
        <is>
          <t>KYC: transitions into kyc_status='in_progress' do not fire a notification (only terminal states do)</t>
        </is>
      </c>
      <c r="C29" s="9" t="inlineStr">
        <is>
          <t>(N/A — audit)</t>
        </is>
      </c>
      <c r="D29" s="9" t="inlineStr">
        <is>
          <t>SC-KYC-001</t>
        </is>
      </c>
      <c r="E29" s="9" t="inlineStr">
        <is>
          <t>Live (oynfhdqizebvgmaoiuax)</t>
        </is>
      </c>
      <c r="F29" s="9" t="inlineStr">
        <is>
          <t>Supabase trigger</t>
        </is>
      </c>
      <c r="G29" s="9" t="inlineStr">
        <is>
          <t>S3</t>
        </is>
      </c>
      <c r="H29" s="9" t="inlineStr">
        <is>
          <t>P3</t>
        </is>
      </c>
      <c r="I29" s="9" t="inlineStr">
        <is>
          <t>Resolved</t>
        </is>
      </c>
      <c r="J29" s="9" t="inlineStr">
        <is>
          <t>Claude (Opus 4.7)</t>
        </is>
      </c>
      <c r="K29" s="9" t="n">
        <v>46157</v>
      </c>
      <c r="L29" s="9" t="n">
        <v>46157</v>
      </c>
      <c r="M29" s="9" t="inlineStr">
        <is>
          <t>DEF-OPS-7 from docs/ops/investor_profile.md §14. Probably intentional, but not documented. Either add a notification or note as 'by design' in the trigger comment.
[RESOLVED 2026-05-15] Migration 048 (4d8a34e) part C: COMMENT ON FUNCTION notify_investor_kyc_status_change documents the by-design choice that in_progress transitions do not fire a notification.</t>
        </is>
      </c>
      <c r="N29" s="9" t="inlineStr">
        <is>
          <t>SELECT obj_description('public.notify_investor_kyc_status_change'::regproc) → mentions BY DESIGN + DEF-2026-05-15-18.</t>
        </is>
      </c>
    </row>
    <row r="30" ht="15" customHeight="1">
      <c r="A30" s="9" t="inlineStr">
        <is>
          <t>DEF-2026-05-15-E1</t>
        </is>
      </c>
      <c r="B30" s="9" t="inlineStr">
        <is>
          <t>Notification card taps are no-op — should deep-link to ticket / KYC / exit detail</t>
        </is>
      </c>
      <c r="C30" s="9" t="inlineStr"/>
      <c r="D30" s="9" t="inlineStr">
        <is>
          <t>SC-NOTIF</t>
        </is>
      </c>
      <c r="E30" s="9" t="inlineStr">
        <is>
          <t>Local web (port 5501)</t>
        </is>
      </c>
      <c r="F30" s="9" t="inlineStr">
        <is>
          <t>App</t>
        </is>
      </c>
      <c r="G30" s="9" t="inlineStr">
        <is>
          <t>S3</t>
        </is>
      </c>
      <c r="H30" s="9" t="inlineStr">
        <is>
          <t>P2</t>
        </is>
      </c>
      <c r="I30" s="9" t="inlineStr">
        <is>
          <t>Open</t>
        </is>
      </c>
      <c r="J30" s="9" t="inlineStr">
        <is>
          <t>ARL Tech</t>
        </is>
      </c>
      <c r="K30" s="9" t="inlineStr">
        <is>
          <t>2026-05-15</t>
        </is>
      </c>
      <c r="L30" s="9" t="inlineStr"/>
      <c r="M30" s="9" t="inlineStr">
        <is>
          <t>Tapping notification cards on /activity does not navigate. Needs onTap handler wired to the right router route based on metadata.type.</t>
        </is>
      </c>
      <c r="N30" s="9" t="inlineStr"/>
    </row>
    <row r="31" ht="15" customHeight="1">
      <c r="A31" s="9" t="inlineStr">
        <is>
          <t>DEF-2026-05-15-E2</t>
        </is>
      </c>
      <c r="B31" s="9" t="inlineStr">
        <is>
          <t>Financials sub-tab transition has overlap glitch (Payouts ↔ Financials)</t>
        </is>
      </c>
      <c r="C31" s="9" t="inlineStr"/>
      <c r="D31" s="9" t="inlineStr">
        <is>
          <t>SC-APP</t>
        </is>
      </c>
      <c r="E31" s="9" t="inlineStr">
        <is>
          <t>Local web (port 5501)</t>
        </is>
      </c>
      <c r="F31" s="9" t="inlineStr">
        <is>
          <t>App</t>
        </is>
      </c>
      <c r="G31" s="9" t="inlineStr">
        <is>
          <t>S4</t>
        </is>
      </c>
      <c r="H31" s="9" t="inlineStr">
        <is>
          <t>P3</t>
        </is>
      </c>
      <c r="I31" s="9" t="inlineStr">
        <is>
          <t>Open</t>
        </is>
      </c>
      <c r="J31" s="9" t="inlineStr">
        <is>
          <t>ARL Tech</t>
        </is>
      </c>
      <c r="K31" s="9" t="inlineStr">
        <is>
          <t>2026-05-15</t>
        </is>
      </c>
      <c r="L31" s="9" t="inlineStr"/>
      <c r="M31" s="9" t="inlineStr">
        <is>
          <t>Outgoing tab briefly overlaps incoming on tap. Pure cosmetic transition timing.</t>
        </is>
      </c>
      <c r="N31" s="9" t="inlineStr"/>
    </row>
    <row r="32" ht="15" customHeight="1">
      <c r="A32" s="9" t="inlineStr">
        <is>
          <t>DEF-2026-05-15-E3</t>
        </is>
      </c>
      <c r="B32" s="9" t="inlineStr">
        <is>
          <t>/legal/privacy and /legal/terms redirect signed-in users to Home (compliance risk)</t>
        </is>
      </c>
      <c r="C32" s="9" t="inlineStr"/>
      <c r="D32" s="9" t="inlineStr">
        <is>
          <t>SC-APP</t>
        </is>
      </c>
      <c r="E32" s="9" t="inlineStr">
        <is>
          <t>Local web (port 5501)</t>
        </is>
      </c>
      <c r="F32" s="9" t="inlineStr">
        <is>
          <t>Routing</t>
        </is>
      </c>
      <c r="G32" s="9" t="inlineStr">
        <is>
          <t>S2</t>
        </is>
      </c>
      <c r="H32" s="9" t="inlineStr">
        <is>
          <t>P2</t>
        </is>
      </c>
      <c r="I32" s="9" t="inlineStr">
        <is>
          <t>Open</t>
        </is>
      </c>
      <c r="J32" s="9" t="inlineStr">
        <is>
          <t>ARL Tech</t>
        </is>
      </c>
      <c r="K32" s="9" t="inlineStr">
        <is>
          <t>2026-05-15</t>
        </is>
      </c>
      <c r="L32" s="9" t="inlineStr"/>
      <c r="M32" s="9" t="inlineStr">
        <is>
          <t>Both routes are in _publicRoutes in lib/core/navigation/router.dart:34-40. Redirect bounces signed-in users. Remove from _publicRoutes; route should be reachable in both auth states.</t>
        </is>
      </c>
      <c r="N32" s="9" t="inlineStr"/>
    </row>
    <row r="33" ht="15" customHeight="1">
      <c r="A33" s="9" t="inlineStr">
        <is>
          <t>DEF-2026-05-15-E4</t>
        </is>
      </c>
      <c r="B33" s="9" t="inlineStr">
        <is>
          <t>KYC status mismatch — profile chip says "pending", Account row badge says "Verified"</t>
        </is>
      </c>
      <c r="C33" s="9" t="inlineStr"/>
      <c r="D33" s="9" t="inlineStr">
        <is>
          <t>SC-KYC</t>
        </is>
      </c>
      <c r="E33" s="9" t="inlineStr">
        <is>
          <t>Local web (port 5501)</t>
        </is>
      </c>
      <c r="F33" s="9" t="inlineStr">
        <is>
          <t>App</t>
        </is>
      </c>
      <c r="G33" s="9" t="inlineStr">
        <is>
          <t>S3</t>
        </is>
      </c>
      <c r="H33" s="9" t="inlineStr">
        <is>
          <t>P2</t>
        </is>
      </c>
      <c r="I33" s="9" t="inlineStr">
        <is>
          <t>Open</t>
        </is>
      </c>
      <c r="J33" s="9" t="inlineStr">
        <is>
          <t>ARL Tech</t>
        </is>
      </c>
      <c r="K33" s="9" t="inlineStr">
        <is>
          <t>2026-05-15</t>
        </is>
      </c>
      <c r="L33" s="9" t="inlineStr"/>
      <c r="M33" s="9" t="inlineStr">
        <is>
          <t>Top header reads investors.kyc_status; Account row badge appears hardcoded or reads a stale derived value. Reconcile both to a single source.</t>
        </is>
      </c>
      <c r="N33" s="9" t="inlineStr"/>
    </row>
    <row r="34" ht="15" customHeight="1">
      <c r="A34" s="9" t="inlineStr">
        <is>
          <t>DEF-2026-05-15-E5</t>
        </is>
      </c>
      <c r="B34" s="9" t="inlineStr">
        <is>
          <t>Document eye-icon opens new tab with literal "null" in storage URL (seed path / RLS prefix mismatch)</t>
        </is>
      </c>
      <c r="C34" s="9" t="inlineStr"/>
      <c r="D34" s="9" t="inlineStr">
        <is>
          <t>SC-DOC-001</t>
        </is>
      </c>
      <c r="E34" s="9" t="inlineStr">
        <is>
          <t>Local web (port 5501)</t>
        </is>
      </c>
      <c r="F34" s="9" t="inlineStr">
        <is>
          <t>App + Storage</t>
        </is>
      </c>
      <c r="G34" s="9" t="inlineStr">
        <is>
          <t>S2</t>
        </is>
      </c>
      <c r="H34" s="9" t="inlineStr">
        <is>
          <t>P2</t>
        </is>
      </c>
      <c r="I34" s="9" t="inlineStr">
        <is>
          <t>Open</t>
        </is>
      </c>
      <c r="J34" s="9" t="inlineStr">
        <is>
          <t>ARL Tech</t>
        </is>
      </c>
      <c r="K34" s="9" t="inlineStr">
        <is>
          <t>2026-05-15</t>
        </is>
      </c>
      <c r="L34" s="9" t="inlineStr"/>
      <c r="M34" s="9" t="inlineStr">
        <is>
          <t>Same root cause as docs/ops/documents.md §8 P1. Seed storage_path values have stray "documents/" prefix that doesn't match storage RLS predicate. Fix per ops doc Option A.</t>
        </is>
      </c>
      <c r="N34" s="9" t="inlineStr"/>
    </row>
    <row r="35" ht="15" customHeight="1">
      <c r="A35" s="9" t="inlineStr">
        <is>
          <t>DEF-2026-05-15-E6</t>
        </is>
      </c>
      <c r="B35" s="9" t="inlineStr">
        <is>
          <t>Profile sub-screens render but URL stays on parent tab (deep-link / share-link breaks)</t>
        </is>
      </c>
      <c r="C35" s="9" t="inlineStr"/>
      <c r="D35" s="9" t="inlineStr">
        <is>
          <t>SC-APP</t>
        </is>
      </c>
      <c r="E35" s="9" t="inlineStr">
        <is>
          <t>Local web (port 5501)</t>
        </is>
      </c>
      <c r="F35" s="9" t="inlineStr">
        <is>
          <t>Routing</t>
        </is>
      </c>
      <c r="G35" s="9" t="inlineStr">
        <is>
          <t>S4</t>
        </is>
      </c>
      <c r="H35" s="9" t="inlineStr">
        <is>
          <t>P3</t>
        </is>
      </c>
      <c r="I35" s="9" t="inlineStr">
        <is>
          <t>Open</t>
        </is>
      </c>
      <c r="J35" s="9" t="inlineStr">
        <is>
          <t>ARL Tech</t>
        </is>
      </c>
      <c r="K35" s="9" t="inlineStr">
        <is>
          <t>2026-05-15</t>
        </is>
      </c>
      <c r="L35" s="9" t="inlineStr"/>
      <c r="M35" s="9" t="inlineStr">
        <is>
          <t>Profile sub-screens (KYC, Bank, Docs, Assistance) reached via push but URL not updated. Cosmetic / shareability issue.</t>
        </is>
      </c>
      <c r="N35" s="9" t="inlineStr"/>
    </row>
    <row r="36" ht="15" customHeight="1">
      <c r="A36" s="9" t="inlineStr">
        <is>
          <t>DEF-2026-05-15-E7</t>
        </is>
      </c>
      <c r="B36" s="9" t="inlineStr">
        <is>
          <t>Gallery tile thumbnail tap is no-op — lightbox does not open</t>
        </is>
      </c>
      <c r="C36" s="9" t="inlineStr"/>
      <c r="D36" s="9" t="inlineStr">
        <is>
          <t>SC-APP</t>
        </is>
      </c>
      <c r="E36" s="9" t="inlineStr">
        <is>
          <t>Local web (port 5501)</t>
        </is>
      </c>
      <c r="F36" s="9" t="inlineStr">
        <is>
          <t>App</t>
        </is>
      </c>
      <c r="G36" s="9" t="inlineStr">
        <is>
          <t>S4</t>
        </is>
      </c>
      <c r="H36" s="9" t="inlineStr">
        <is>
          <t>P3</t>
        </is>
      </c>
      <c r="I36" s="9" t="inlineStr">
        <is>
          <t>Open</t>
        </is>
      </c>
      <c r="J36" s="9" t="inlineStr">
        <is>
          <t>ARL Tech</t>
        </is>
      </c>
      <c r="K36" s="9" t="inlineStr">
        <is>
          <t>2026-05-15</t>
        </is>
      </c>
      <c r="L36" s="9" t="inlineStr"/>
      <c r="M36" s="9" t="inlineStr">
        <is>
          <t>/gallery photo tile has no onTap handler wired to lightbox.</t>
        </is>
      </c>
      <c r="N36" s="9" t="inlineStr"/>
    </row>
    <row r="37" ht="15" customHeight="1">
      <c r="A37" s="9" t="inlineStr">
        <is>
          <t>DEF-V27-01</t>
        </is>
      </c>
      <c r="B37" s="9" t="inlineStr">
        <is>
          <t>Contacts.update silently no-ops for non-existing investors — API-created Zoho contacts never land in public.investors</t>
        </is>
      </c>
      <c r="C37" s="9" t="inlineStr">
        <is>
          <t>(N/A — ops-side E2E v27)</t>
        </is>
      </c>
      <c r="D37" s="9" t="inlineStr">
        <is>
          <t>SC-INV-001</t>
        </is>
      </c>
      <c r="E37" s="9" t="inlineStr">
        <is>
          <t>Live (oynfhdqizebvgmaoiuax) — zoho-crm-webhook v27</t>
        </is>
      </c>
      <c r="F37" s="9" t="inlineStr">
        <is>
          <t>Sync (zoho-crm-webhook)</t>
        </is>
      </c>
      <c r="G37" s="9" t="inlineStr">
        <is>
          <t>S1</t>
        </is>
      </c>
      <c r="H37" s="9" t="inlineStr">
        <is>
          <t>P1</t>
        </is>
      </c>
      <c r="I37" s="9" t="inlineStr">
        <is>
          <t>Closed-Pass</t>
        </is>
      </c>
      <c r="J37" s="9" t="inlineStr">
        <is>
          <t>ARL Tech</t>
        </is>
      </c>
      <c r="K37" s="9" t="inlineStr">
        <is>
          <t>2026-05-15</t>
        </is>
      </c>
      <c r="L37" s="9" t="inlineStr">
        <is>
          <t>2026-05-16</t>
        </is>
      </c>
      <c r="M37" s="9" t="inlineStr">
        <is>
          <t>API-created Zoho Contacts fire Contacts.update (never .create). Handler matches by zoho_contact_id; finds nothing; marks status=processed without inserting. Fix: UPSERT on Contacts.update OR have the CF emit a .create event for first-seen records.</t>
        </is>
      </c>
      <c r="N37" s="9" t="inlineStr">
        <is>
          <t>v29 auto-onboard verified: TC-V29-WA-01. Brand-new Zoho Contact lands as investors+auth.users row within 15s; magic-link invite fires.</t>
        </is>
      </c>
    </row>
    <row r="38" ht="15" customHeight="1">
      <c r="A38" s="9" t="inlineStr">
        <is>
          <t>DEF-V27-02</t>
        </is>
      </c>
      <c r="B38" s="9" t="inlineStr">
        <is>
          <t>Allocation UTR/Date/Amount fields not unpacking into payouts table</t>
        </is>
      </c>
      <c r="C38" s="9" t="inlineStr">
        <is>
          <t>(N/A — ops-side E2E v27)</t>
        </is>
      </c>
      <c r="D38" s="9" t="inlineStr">
        <is>
          <t>SC-ALC-001</t>
        </is>
      </c>
      <c r="E38" s="9" t="inlineStr">
        <is>
          <t>Live (oynfhdqizebvgmaoiuax) — zoho-crm-webhook v27</t>
        </is>
      </c>
      <c r="F38" s="9" t="inlineStr">
        <is>
          <t>Sync (zoho-crm-webhook)</t>
        </is>
      </c>
      <c r="G38" s="9" t="inlineStr">
        <is>
          <t>S2</t>
        </is>
      </c>
      <c r="H38" s="9" t="inlineStr">
        <is>
          <t>P2</t>
        </is>
      </c>
      <c r="I38" s="9" t="inlineStr">
        <is>
          <t>Open</t>
        </is>
      </c>
      <c r="J38" s="9" t="inlineStr">
        <is>
          <t>ARL Tech</t>
        </is>
      </c>
      <c r="K38" s="9" t="inlineStr">
        <is>
          <t>2026-05-15</t>
        </is>
      </c>
      <c r="L38" s="9" t="n"/>
      <c r="M38" s="9" t="inlineStr">
        <is>
          <t>Allocation 1169101000001654020 created with UTR_1/Date_1/Amount_1 populated. Webhook processed; no payouts row inserted. All existing payouts are source=manual. Either UTR-unpacking path was not wired in v27 or it requires an undocumented allocation_status / non-empty UTR_2.</t>
        </is>
      </c>
      <c r="N38" s="9" t="inlineStr">
        <is>
          <t>Partial fix in v29: slots 2-10 unpack correctly (TC-V29-WC-01, TC-V29-WC-02). Slot 1 still drops — split out as DEF-V29-04.</t>
        </is>
      </c>
    </row>
    <row r="39" ht="15" customHeight="1">
      <c r="A39" s="9" t="inlineStr">
        <is>
          <t>DEF-V27-03</t>
        </is>
      </c>
      <c r="B39" s="9" t="inlineStr">
        <is>
          <t>Zoho Bank_Name round-trips empty in webhook payload</t>
        </is>
      </c>
      <c r="C39" s="9" t="inlineStr">
        <is>
          <t>(N/A — ops-side E2E v27)</t>
        </is>
      </c>
      <c r="D39" s="9" t="inlineStr">
        <is>
          <t>SC-INV-001</t>
        </is>
      </c>
      <c r="E39" s="9" t="inlineStr">
        <is>
          <t>Live (oynfhdqizebvgmaoiuax) — Zoho field config</t>
        </is>
      </c>
      <c r="F39" s="9" t="inlineStr">
        <is>
          <t>Zoho</t>
        </is>
      </c>
      <c r="G39" s="9" t="inlineStr">
        <is>
          <t>S4</t>
        </is>
      </c>
      <c r="H39" s="9" t="inlineStr">
        <is>
          <t>P3</t>
        </is>
      </c>
      <c r="I39" s="9" t="inlineStr">
        <is>
          <t>Open</t>
        </is>
      </c>
      <c r="J39" s="9" t="inlineStr">
        <is>
          <t>ARL Tech</t>
        </is>
      </c>
      <c r="K39" s="9" t="inlineStr">
        <is>
          <t>2026-05-15</t>
        </is>
      </c>
      <c r="L39" s="9" t="n"/>
      <c r="M39" s="9" t="inlineStr">
        <is>
          <t>Wave 3 contact created with Bank_Name="HDFC Bank"; outbound webhook shows Bank_Name="". Likely a Zoho field-permission or picklist mapping issue. Not a Supabase bug.</t>
        </is>
      </c>
      <c r="N39" s="9" t="inlineStr">
        <is>
          <t>Triage on Zoho side.</t>
        </is>
      </c>
    </row>
    <row r="40" ht="15" customHeight="1">
      <c r="A40" s="9" t="inlineStr">
        <is>
          <t>DEF-V27-04</t>
        </is>
      </c>
      <c r="B40" s="9" t="inlineStr">
        <is>
          <t>aadhaar_masked stored as empty string when Zoho returns [REDACTED] sentinel</t>
        </is>
      </c>
      <c r="C40" s="9" t="inlineStr">
        <is>
          <t>(N/A — ops-side E2E v27)</t>
        </is>
      </c>
      <c r="D40" s="9" t="inlineStr">
        <is>
          <t>SC-INV-001</t>
        </is>
      </c>
      <c r="E40" s="9" t="inlineStr">
        <is>
          <t>Live (oynfhdqizebvgmaoiuax) — zoho-crm-webhook v27</t>
        </is>
      </c>
      <c r="F40" s="9" t="inlineStr">
        <is>
          <t>Sync + App display</t>
        </is>
      </c>
      <c r="G40" s="9" t="inlineStr">
        <is>
          <t>S4</t>
        </is>
      </c>
      <c r="H40" s="9" t="inlineStr">
        <is>
          <t>P3</t>
        </is>
      </c>
      <c r="I40" s="9" t="inlineStr">
        <is>
          <t>Open</t>
        </is>
      </c>
      <c r="J40" s="9" t="inlineStr">
        <is>
          <t>ARL Tech</t>
        </is>
      </c>
      <c r="K40" s="9" t="inlineStr">
        <is>
          <t>2026-05-15</t>
        </is>
      </c>
      <c r="L40" s="9" t="n"/>
      <c r="M40" s="9" t="inlineStr">
        <is>
          <t>Aadhaar_Number arrives as the literal "[REDACTED]" sentinel from Zoho. Handler cannot compute a masked tail; writes empty string. App should render "not provided" rather than echo the empty value, or handler should accept a parallel non-redacted source field.</t>
        </is>
      </c>
      <c r="N40" s="9" t="inlineStr">
        <is>
          <t>P3 — cosmetic / data fidelity.</t>
        </is>
      </c>
    </row>
    <row r="41" ht="15" customHeight="1">
      <c r="A41" s="9" t="inlineStr">
        <is>
          <t>DEF-V29-01</t>
        </is>
      </c>
      <c r="B41" s="9" t="inlineStr">
        <is>
          <t>Zoho Allocation Delete trigger does not fire workflow webhook → Supabase mirror drift</t>
        </is>
      </c>
      <c r="C41" s="9" t="inlineStr">
        <is>
          <t>TC-V29-WP-03, TC-V29-WC-03</t>
        </is>
      </c>
      <c r="D41" s="9" t="inlineStr">
        <is>
          <t>SC-V29 allocation</t>
        </is>
      </c>
      <c r="E41" s="9" t="inlineStr">
        <is>
          <t>Live (oynfhdqizebvgmaoiuax) — Zoho workflow rule</t>
        </is>
      </c>
      <c r="F41" s="9" t="inlineStr">
        <is>
          <t>Zoho workflow + Sync</t>
        </is>
      </c>
      <c r="G41" s="9" t="inlineStr">
        <is>
          <t>S1</t>
        </is>
      </c>
      <c r="H41" s="9" t="inlineStr">
        <is>
          <t>P1</t>
        </is>
      </c>
      <c r="I41" s="9" t="inlineStr">
        <is>
          <t>Open</t>
        </is>
      </c>
      <c r="J41" s="9" t="inlineStr">
        <is>
          <t>ARL Tech</t>
        </is>
      </c>
      <c r="K41" s="9" t="inlineStr">
        <is>
          <t>2026-05-16</t>
        </is>
      </c>
      <c r="L41" s="9" t="n"/>
      <c r="M41" s="9" t="inlineStr">
        <is>
          <t>Deleting an LLP_UnitAllocation_Module record via the Zoho API (or UI) returns SUCCESS but no LLP_UnitAllocation_Module.delete event reaches the zoho-crm-webhook edge function (or webhook_log). Likely cause: the Zoho workflow rule for the Allocation module is not configured to fire on the Delete trigger, or Push_Allocation_To_Supabase is not subscribed to Delete. Reproduced twice in this session (Wave 1 throwaway alloc 1169101000001709007; Wave C alloc 1169101000001709020). Saved by parent-LLP CASCADE both times — but a standalone allocation delete will leave a phantom investor_units + payouts in Supabase.</t>
        </is>
      </c>
      <c r="N41" s="9" t="inlineStr">
        <is>
          <t>BLOCKING for any allocation lifecycle where the LLP outlives the allocation. Fix: wire Zoho workflow rule on Delete trigger for LLP_UnitAllocation_Module → Push_Allocation_To_Supabase with operation=delete.</t>
        </is>
      </c>
    </row>
    <row r="42" ht="15" customHeight="1">
      <c r="A42" s="9" t="inlineStr">
        <is>
          <t>DEF-V29-02</t>
        </is>
      </c>
      <c r="B42" s="9" t="inlineStr">
        <is>
          <t>Contacts.Phone (or Mobile) not mapped to investors.phone on auto-onboard / update</t>
        </is>
      </c>
      <c r="C42" s="9" t="inlineStr">
        <is>
          <t>TC-V29-WA-01</t>
        </is>
      </c>
      <c r="D42" s="9" t="inlineStr">
        <is>
          <t>SC-V29 contacts</t>
        </is>
      </c>
      <c r="E42" s="9" t="inlineStr">
        <is>
          <t>Live (oynfhdqizebvgmaoiuax) — zoho-crm-webhook v29</t>
        </is>
      </c>
      <c r="F42" s="9" t="inlineStr">
        <is>
          <t>Sync (zoho-crm-webhook)</t>
        </is>
      </c>
      <c r="G42" s="9" t="inlineStr">
        <is>
          <t>S2</t>
        </is>
      </c>
      <c r="H42" s="9" t="inlineStr">
        <is>
          <t>P2</t>
        </is>
      </c>
      <c r="I42" s="9" t="inlineStr">
        <is>
          <t>Open</t>
        </is>
      </c>
      <c r="J42" s="9" t="inlineStr">
        <is>
          <t>ARL Tech</t>
        </is>
      </c>
      <c r="K42" s="9" t="inlineStr">
        <is>
          <t>2026-05-16</t>
        </is>
      </c>
      <c r="L42" s="9" t="n"/>
      <c r="M42" s="9" t="inlineStr">
        <is>
          <t>Zoho Contact created with Phone="+91 99999 00301" and Mobile=null. Resulting investors.phone is "" (empty). handleContact() in v29 source reads `phone: (d.Mobile ?? d.Phone)` — with d.Mobile=null that should fall through to d.Phone. Either Zoho CF strips Phone from the outbound payload, or the field arrives as empty string and `??` only catches null/undefined. Fix candidates: (a) coerce with `(d.Mobile || d.Phone || "")` to treat empty strings as nullish; (b) audit Zoho CF Push_Contact to confirm Phone is included.</t>
        </is>
      </c>
      <c r="N42" s="9" t="inlineStr">
        <is>
          <t>P2 — investor phone is a profile field that other parts of the app surface (support contact, KYC fallback).</t>
        </is>
      </c>
    </row>
    <row r="43" ht="15" customHeight="1">
      <c r="A43" s="9" t="inlineStr">
        <is>
          <t>DEF-V29-03</t>
        </is>
      </c>
      <c r="B43" s="9" t="inlineStr">
        <is>
          <t>LLP_Creation_Module webhook returns HTTP 400 "missing record id" for some LLPs (regression from v27)</t>
        </is>
      </c>
      <c r="C43" s="9" t="inlineStr">
        <is>
          <t>TC-V29-WB-01, TC-V29-WD-02</t>
        </is>
      </c>
      <c r="D43" s="9" t="inlineStr">
        <is>
          <t>SC-V29 llp</t>
        </is>
      </c>
      <c r="E43" s="9" t="inlineStr">
        <is>
          <t>Live (oynfhdqizebvgmaoiuax) — Zoho Push_LLP CF + zoho-crm-webhook v29</t>
        </is>
      </c>
      <c r="F43" s="9" t="inlineStr">
        <is>
          <t>Zoho CF + Sync</t>
        </is>
      </c>
      <c r="G43" s="9" t="inlineStr">
        <is>
          <t>S1</t>
        </is>
      </c>
      <c r="H43" s="9" t="inlineStr">
        <is>
          <t>P1</t>
        </is>
      </c>
      <c r="I43" s="9" t="inlineStr">
        <is>
          <t>Open</t>
        </is>
      </c>
      <c r="J43" s="9" t="inlineStr">
        <is>
          <t>ARL Tech</t>
        </is>
      </c>
      <c r="K43" s="9" t="inlineStr">
        <is>
          <t>2026-05-16</t>
        </is>
      </c>
      <c r="L43" s="9" t="n"/>
      <c r="M43" s="9" t="inlineStr">
        <is>
          <t>In v27 logs LLP_Creation_Module.edit consistently returned 200. After v29 deploy 5 of 6 LLP webhook attempts in this session returned 400; the one that processed cleanly (Wave-D LLP 1169101000001677021) was created with a MINIMAL field set. The Wave-B LLP (1169101000001653013) — same Zoho user, same API — was created with address fields populated AND continued to 400 on every subsequent edit, even after retry with trigger=["workflow"]. The handler 400 happens in the pre-handler guard `if (!recordId) return 400` — so the inbound body has no `data.id` (or has `data: []` empty array). Strongly suggests Push_LLP CF (Deluge) is emitting a malformed payload for certain field combinations. Workaround in this session: SQL-injected llps+projects rows to simulate the missing webhook.</t>
        </is>
      </c>
      <c r="N43" s="9" t="inlineStr">
        <is>
          <t>BLOCKING for any new LLP onboarded via Zoho. Fix: triage Push_LLP Deluge script; confirm it always includes `id` in the body payload (or in the URL query string).</t>
        </is>
      </c>
    </row>
    <row r="44" ht="15" customHeight="1">
      <c r="A44" s="9" t="inlineStr">
        <is>
          <t>DEF-V29-04</t>
        </is>
      </c>
      <c r="B44" s="9" t="inlineStr">
        <is>
          <t>Allocation payout slot 1 silently dropped because Push_Allocation CF sends UTR_1="" instead of UTR=&lt;value&gt;</t>
        </is>
      </c>
      <c r="C44" s="9" t="inlineStr">
        <is>
          <t>TC-V29-WC-01</t>
        </is>
      </c>
      <c r="D44" s="9" t="inlineStr">
        <is>
          <t>SC-V29 allocation</t>
        </is>
      </c>
      <c r="E44" s="9" t="inlineStr">
        <is>
          <t>Live (oynfhdqizebvgmaoiuax) — Push_Allocation CF + zoho-crm-webhook v29</t>
        </is>
      </c>
      <c r="F44" s="9" t="inlineStr">
        <is>
          <t>Zoho CF + Sync</t>
        </is>
      </c>
      <c r="G44" s="9" t="inlineStr">
        <is>
          <t>S2</t>
        </is>
      </c>
      <c r="H44" s="9" t="inlineStr">
        <is>
          <t>P2</t>
        </is>
      </c>
      <c r="I44" s="9" t="inlineStr">
        <is>
          <t>Open</t>
        </is>
      </c>
      <c r="J44" s="9" t="inlineStr">
        <is>
          <t>ARL Tech</t>
        </is>
      </c>
      <c r="K44" s="9" t="inlineStr">
        <is>
          <t>2026-05-16</t>
        </is>
      </c>
      <c r="L44" s="9" t="n"/>
      <c r="M44" s="9" t="inlineStr">
        <is>
          <t>Allocation created with Zoho-side fields UTR="UTRWC1-FIRST", Date_1="2026-05-16", Amount_1=50000 (slot 1 in Zoho uses bare `UTR` + `Date_1`/`Amount_1`). Outbound webhook payload (per webhook_log) carries UTR_1="" (empty string) and OMITS the UTR field. Handler slot-1 branch `(d.UTR_1 ?? d.UTR)` resolves to "" because `??` only short-circuits on null/undefined. The handler's guard `if (!utr || amt === undefined) continue` then skips slot 1. Slots 2–10 unpack fine. Fix candidates: (a) handler uses `||` instead of `??` for the UTR/Date fallback; (b) Push_Allocation CF includes the bare `UTR` field in the outbound payload alongside UTR_1.</t>
        </is>
      </c>
      <c r="N44" s="9" t="inlineStr">
        <is>
          <t>Partial close on DEF-V27-02. P2 — first payout of every CRM-sourced allocation is silently lost.</t>
        </is>
      </c>
    </row>
    <row r="45" ht="15" customHeight="1">
      <c r="A45" s="9" t="n"/>
      <c r="B45" s="9" t="n"/>
      <c r="C45" s="9" t="n"/>
      <c r="D45" s="9" t="n"/>
      <c r="E45" s="9" t="n"/>
      <c r="F45" s="9" t="n"/>
      <c r="G45" s="9" t="n"/>
      <c r="H45" s="9" t="n"/>
      <c r="I45" s="9" t="n"/>
      <c r="J45" s="9" t="n"/>
      <c r="K45" s="9" t="n"/>
      <c r="L45" s="9" t="n"/>
      <c r="M45" s="9" t="n"/>
      <c r="N45" s="9" t="n"/>
    </row>
    <row r="46" ht="15" customHeight="1">
      <c r="A46" s="9" t="n"/>
      <c r="B46" s="9" t="n"/>
      <c r="C46" s="9" t="n"/>
      <c r="D46" s="9" t="n"/>
      <c r="E46" s="9" t="n"/>
      <c r="F46" s="9" t="n"/>
      <c r="G46" s="9" t="n"/>
      <c r="H46" s="9" t="n"/>
      <c r="I46" s="9" t="n"/>
      <c r="J46" s="9" t="n"/>
      <c r="K46" s="9" t="n"/>
      <c r="L46" s="9" t="n"/>
      <c r="M46" s="9" t="n"/>
      <c r="N46" s="9" t="n"/>
    </row>
    <row r="47" ht="15" customHeight="1">
      <c r="A47" s="9" t="n"/>
      <c r="B47" s="9" t="n"/>
      <c r="C47" s="9" t="n"/>
      <c r="D47" s="9" t="n"/>
      <c r="E47" s="9" t="n"/>
      <c r="F47" s="9" t="n"/>
      <c r="G47" s="9" t="n"/>
      <c r="H47" s="9" t="n"/>
      <c r="I47" s="9" t="n"/>
      <c r="J47" s="9" t="n"/>
      <c r="K47" s="9" t="n"/>
      <c r="L47" s="9" t="n"/>
      <c r="M47" s="9" t="n"/>
      <c r="N47" s="9" t="n"/>
    </row>
    <row r="48" ht="15" customHeight="1">
      <c r="A48" s="9" t="n"/>
      <c r="B48" s="9" t="n"/>
      <c r="C48" s="9" t="n"/>
      <c r="D48" s="9" t="n"/>
      <c r="E48" s="9" t="n"/>
      <c r="F48" s="9" t="n"/>
      <c r="G48" s="9" t="n"/>
      <c r="H48" s="9" t="n"/>
      <c r="I48" s="9" t="n"/>
      <c r="J48" s="9" t="n"/>
      <c r="K48" s="9" t="n"/>
      <c r="L48" s="9" t="n"/>
      <c r="M48" s="9" t="n"/>
      <c r="N48" s="9" t="n"/>
    </row>
    <row r="49" ht="15" customHeight="1">
      <c r="A49" s="9" t="n"/>
      <c r="B49" s="9" t="n"/>
      <c r="C49" s="9" t="n"/>
      <c r="D49" s="9" t="n"/>
      <c r="E49" s="9" t="n"/>
      <c r="F49" s="9" t="n"/>
      <c r="G49" s="9" t="n"/>
      <c r="H49" s="9" t="n"/>
      <c r="I49" s="9" t="n"/>
      <c r="J49" s="9" t="n"/>
      <c r="K49" s="9" t="n"/>
      <c r="L49" s="9" t="n"/>
      <c r="M49" s="9" t="n"/>
      <c r="N49" s="9" t="n"/>
    </row>
    <row r="50" ht="15" customHeight="1">
      <c r="A50" s="9" t="n"/>
      <c r="B50" s="9" t="n"/>
      <c r="C50" s="9" t="n"/>
      <c r="D50" s="9" t="n"/>
      <c r="E50" s="9" t="n"/>
      <c r="F50" s="9" t="n"/>
      <c r="G50" s="9" t="n"/>
      <c r="H50" s="9" t="n"/>
      <c r="I50" s="9" t="n"/>
      <c r="J50" s="9" t="n"/>
      <c r="K50" s="9" t="n"/>
      <c r="L50" s="9" t="n"/>
      <c r="M50" s="9" t="n"/>
      <c r="N50" s="9" t="n"/>
    </row>
    <row r="51" ht="15" customHeight="1">
      <c r="A51" s="9" t="n"/>
      <c r="B51" s="9" t="n"/>
      <c r="C51" s="9" t="n"/>
      <c r="D51" s="9" t="n"/>
      <c r="E51" s="9" t="n"/>
      <c r="F51" s="9" t="n"/>
      <c r="G51" s="9" t="n"/>
      <c r="H51" s="9" t="n"/>
      <c r="I51" s="9" t="n"/>
      <c r="J51" s="9" t="n"/>
      <c r="K51" s="9" t="n"/>
      <c r="L51" s="9" t="n"/>
      <c r="M51" s="9" t="n"/>
      <c r="N51" s="9" t="n"/>
    </row>
    <row r="52" ht="15" customHeight="1">
      <c r="A52" s="9" t="n"/>
      <c r="B52" s="9" t="n"/>
      <c r="C52" s="9" t="n"/>
      <c r="D52" s="9" t="n"/>
      <c r="E52" s="9" t="n"/>
      <c r="F52" s="9" t="n"/>
      <c r="G52" s="9" t="n"/>
      <c r="H52" s="9" t="n"/>
      <c r="I52" s="9" t="n"/>
      <c r="J52" s="9" t="n"/>
      <c r="K52" s="9" t="n"/>
      <c r="L52" s="9" t="n"/>
      <c r="M52" s="9" t="n"/>
      <c r="N52" s="9" t="n"/>
    </row>
    <row r="53" ht="15" customHeight="1">
      <c r="A53" s="9" t="n"/>
      <c r="B53" s="9" t="n"/>
      <c r="C53" s="9" t="n"/>
      <c r="D53" s="9" t="n"/>
      <c r="E53" s="9" t="n"/>
      <c r="F53" s="9" t="n"/>
      <c r="G53" s="9" t="n"/>
      <c r="H53" s="9" t="n"/>
      <c r="I53" s="9" t="n"/>
      <c r="J53" s="9" t="n"/>
      <c r="K53" s="9" t="n"/>
      <c r="L53" s="9" t="n"/>
      <c r="M53" s="9" t="n"/>
      <c r="N53" s="9" t="n"/>
    </row>
    <row r="54">
      <c r="A54" s="37" t="inlineStr">
        <is>
          <t>DEF-V31-01</t>
        </is>
      </c>
      <c r="B54" s="37" t="inlineStr">
        <is>
          <t>LR-SEC-005 regression: 4 of 5 edge functions still emit Access-Control-Allow-Origin: * (bank-change-request, create-ticket, reply-ticket, onboard-investor)</t>
        </is>
      </c>
      <c r="C54" s="37" t="inlineStr">
        <is>
          <t>V31-FIN-04 / V31-AUTH (cross-fn)</t>
        </is>
      </c>
      <c r="D54" s="37" t="inlineStr">
        <is>
          <t>—</t>
        </is>
      </c>
      <c r="E54" s="37" t="inlineStr">
        <is>
          <t>Production</t>
        </is>
      </c>
      <c r="F54" s="37" t="inlineStr">
        <is>
          <t>Edge Function</t>
        </is>
      </c>
      <c r="G54" s="37" t="inlineStr">
        <is>
          <t>S2</t>
        </is>
      </c>
      <c r="H54" s="37" t="inlineStr">
        <is>
          <t>P1</t>
        </is>
      </c>
      <c r="I54" s="37" t="inlineStr">
        <is>
          <t>Open</t>
        </is>
      </c>
      <c r="J54" s="37" t="inlineStr">
        <is>
          <t>ARL Tech</t>
        </is>
      </c>
      <c r="K54" s="37" t="inlineStr">
        <is>
          <t>2026-05-18</t>
        </is>
      </c>
      <c r="L54" s="37" t="n"/>
      <c r="M54" s="37" t="inlineStr">
        <is>
          <t>Code in supabase/functions/*/index.ts still hardcodes ACAO=*; _shared/cors.ts allow-list is in repo but deployed function versions (v11) predate the 2026-05-13 audit. Re-deploy with `supabase functions deploy &lt;name&gt;` for all 4. JWT remains the real gate; severity is S2 because impact is mostly defense-in-depth.</t>
        </is>
      </c>
      <c r="N54" s="37" t="n"/>
    </row>
    <row r="55">
      <c r="A55" s="37" t="inlineStr">
        <is>
          <t>DEF-V31-02</t>
        </is>
      </c>
      <c r="B55" s="37" t="inlineStr">
        <is>
          <t>request-auth-email leaks registered-vs-unregistered emails via response-time delta</t>
        </is>
      </c>
      <c r="C55" s="37" t="inlineStr">
        <is>
          <t>V31-AUTH-02 / V31-AUTH-03</t>
        </is>
      </c>
      <c r="D55" s="37" t="inlineStr">
        <is>
          <t>—</t>
        </is>
      </c>
      <c r="E55" s="37" t="inlineStr">
        <is>
          <t>Production</t>
        </is>
      </c>
      <c r="F55" s="37" t="inlineStr">
        <is>
          <t>Edge Function</t>
        </is>
      </c>
      <c r="G55" s="37" t="inlineStr">
        <is>
          <t>S3</t>
        </is>
      </c>
      <c r="H55" s="37" t="inlineStr">
        <is>
          <t>P2</t>
        </is>
      </c>
      <c r="I55" s="37" t="inlineStr">
        <is>
          <t>Open</t>
        </is>
      </c>
      <c r="J55" s="37" t="inlineStr">
        <is>
          <t>ARL Tech</t>
        </is>
      </c>
      <c r="K55" s="37" t="inlineStr">
        <is>
          <t>2026-05-18</t>
        </is>
      </c>
      <c r="L55" s="37" t="n"/>
      <c r="M55" s="37" t="inlineStr">
        <is>
          <t>timingPad in source is only 350ms; supabase.auth.signInWithOtp / resetPasswordForEmail adds 2-3s for real users. Net: registered hits ~3.6s, unregistered ~1.1s — easy to fingerprint. Fix: either (a) fire-and-forget the Auth call and always return after a fixed 2.5-3s pad, or (b) call Auth in `Promise.race(authCall, sleep(pad))` and only await pad before returning.</t>
        </is>
      </c>
      <c r="N55" s="37" t="n"/>
    </row>
    <row r="56">
      <c r="A56" s="37" t="inlineStr">
        <is>
          <t>DEF-V31-03</t>
        </is>
      </c>
      <c r="B56" s="37" t="inlineStr">
        <is>
          <t>No edge-function-level rate limit on request-auth-email — abuse vector for email-spam if Supabase Auth quota lifted</t>
        </is>
      </c>
      <c r="C56" s="37" t="inlineStr">
        <is>
          <t>V31-AUTH-10</t>
        </is>
      </c>
      <c r="D56" s="37" t="inlineStr">
        <is>
          <t>—</t>
        </is>
      </c>
      <c r="E56" s="37" t="inlineStr">
        <is>
          <t>Production</t>
        </is>
      </c>
      <c r="F56" s="37" t="inlineStr">
        <is>
          <t>Edge Function</t>
        </is>
      </c>
      <c r="G56" s="37" t="inlineStr">
        <is>
          <t>S3</t>
        </is>
      </c>
      <c r="H56" s="37" t="inlineStr">
        <is>
          <t>P3</t>
        </is>
      </c>
      <c r="I56" s="37" t="inlineStr">
        <is>
          <t>Open</t>
        </is>
      </c>
      <c r="J56" s="37" t="inlineStr">
        <is>
          <t>ARL Tech</t>
        </is>
      </c>
      <c r="K56" s="37" t="inlineStr">
        <is>
          <t>2026-05-18</t>
        </is>
      </c>
      <c r="L56" s="37" t="n"/>
      <c r="M56" s="37" t="inlineStr">
        <is>
          <t>Function relies on upstream Supabase Auth's per-email throttle. With custom SMTP planned (per OPS-01 BLOCKED reason) that upstream gate may be removed. Add a Postgres-backed rate-limit table or use Upstash KV to throttle per-email and per-IP at the function entry.</t>
        </is>
      </c>
      <c r="N56" s="37" t="n"/>
    </row>
    <row r="57">
      <c r="A57" s="37" t="inlineStr">
        <is>
          <t>DEF-V31-04</t>
        </is>
      </c>
      <c r="B57" s="37" t="inlineStr">
        <is>
          <t>investor_units rows missing unit_price for Samsung LLP allocation (Sahil Mohite)</t>
        </is>
      </c>
      <c r="C57" s="37" t="inlineStr">
        <is>
          <t>V31-PROJ-01 / V31-PROJ-02</t>
        </is>
      </c>
      <c r="D57" s="37" t="inlineStr">
        <is>
          <t>—</t>
        </is>
      </c>
      <c r="E57" s="37" t="inlineStr">
        <is>
          <t>Production</t>
        </is>
      </c>
      <c r="F57" s="37" t="inlineStr">
        <is>
          <t>Supabase</t>
        </is>
      </c>
      <c r="G57" s="37" t="inlineStr">
        <is>
          <t>S3</t>
        </is>
      </c>
      <c r="H57" s="37" t="inlineStr">
        <is>
          <t>P2</t>
        </is>
      </c>
      <c r="I57" s="37" t="inlineStr">
        <is>
          <t>Open</t>
        </is>
      </c>
      <c r="J57" s="37" t="inlineStr">
        <is>
          <t>ARL Tech</t>
        </is>
      </c>
      <c r="K57" s="37" t="inlineStr">
        <is>
          <t>2026-05-18</t>
        </is>
      </c>
      <c r="L57" s="37" t="n"/>
      <c r="M57" s="37" t="inlineStr">
        <is>
          <t>SQL: row id 54b415ad-3197-4a42-8ff5-3aef60972553 has unit_price=NULL and allocation_status=NULL despite capital_invested=12,500,000. UI display will render '—' or compute per-unit price as NaN. Related to DEF-2026-05-07-02. Re-sync the allocation from Zoho or backfill via SQL UPDATE.</t>
        </is>
      </c>
      <c r="N57" s="37" t="n"/>
    </row>
    <row r="58">
      <c r="A58" s="37" t="inlineStr">
        <is>
          <t>DEF-V31-05</t>
        </is>
      </c>
      <c r="B58" s="37" t="inlineStr">
        <is>
          <t>zoho-reconcile-daily produced 1 unhandled 500 in last 24h</t>
        </is>
      </c>
      <c r="C58" s="37" t="inlineStr">
        <is>
          <t>V31-OPS-05</t>
        </is>
      </c>
      <c r="D58" s="37" t="inlineStr">
        <is>
          <t>—</t>
        </is>
      </c>
      <c r="E58" s="37" t="inlineStr">
        <is>
          <t>Production</t>
        </is>
      </c>
      <c r="F58" s="37" t="inlineStr">
        <is>
          <t>Edge Function</t>
        </is>
      </c>
      <c r="G58" s="37" t="inlineStr">
        <is>
          <t>S2</t>
        </is>
      </c>
      <c r="H58" s="37" t="inlineStr">
        <is>
          <t>P2</t>
        </is>
      </c>
      <c r="I58" s="37" t="inlineStr">
        <is>
          <t>Open</t>
        </is>
      </c>
      <c r="J58" s="37" t="inlineStr">
        <is>
          <t>ARL Tech</t>
        </is>
      </c>
      <c r="K58" s="37" t="inlineStr">
        <is>
          <t>2026-05-18</t>
        </is>
      </c>
      <c r="L58" s="37" t="n"/>
      <c r="M58" s="37" t="inlineStr">
        <is>
          <t>Edge log: POST /functions/v1/zoho-reconcile-daily → 500 at 2026-05-17 23:00 UTC, execution_time_ms 4900 (close to default 5s budget — possibly timeout). Pull logs with `supabase functions logs zoho-reconcile-daily --since 36h` and inspect. Also: sync-stale-alert is calling /functions/v1/health-check which returns 404 (function not deployed) — separate cleanup needed.</t>
        </is>
      </c>
      <c r="N58" s="37" t="n"/>
    </row>
    <row r="59">
      <c r="A59" s="37" t="inlineStr">
        <is>
          <t>DEF-V31-06</t>
        </is>
      </c>
      <c r="B59" s="37" t="inlineStr">
        <is>
          <t>sync_alerts has RLS enabled but no policies — table is silently locked (DEFENSE-IN-DEPTH gap)</t>
        </is>
      </c>
      <c r="C59" s="37" t="inlineStr">
        <is>
          <t>—</t>
        </is>
      </c>
      <c r="D59" s="37" t="inlineStr">
        <is>
          <t>—</t>
        </is>
      </c>
      <c r="E59" s="37" t="inlineStr">
        <is>
          <t>Production</t>
        </is>
      </c>
      <c r="F59" s="37" t="inlineStr">
        <is>
          <t>Supabase</t>
        </is>
      </c>
      <c r="G59" s="37" t="inlineStr">
        <is>
          <t>S3</t>
        </is>
      </c>
      <c r="H59" s="37" t="inlineStr">
        <is>
          <t>P3</t>
        </is>
      </c>
      <c r="I59" s="37" t="inlineStr">
        <is>
          <t>Open</t>
        </is>
      </c>
      <c r="J59" s="37" t="inlineStr">
        <is>
          <t>ARL Tech</t>
        </is>
      </c>
      <c r="K59" s="37" t="inlineStr">
        <is>
          <t>2026-05-18</t>
        </is>
      </c>
      <c r="L59" s="37" t="n"/>
      <c r="M59" s="37" t="inlineStr">
        <is>
          <t>Supabase advisor flagged. Service-role still writes (bypasses RLS) so alerts continue to land, but authenticated ops dashboards cannot SELECT (likely intentional — ops uses service role too). Add an explicit policy or move to a private schema to silence the advisor.</t>
        </is>
      </c>
      <c r="N59" s="37" t="n"/>
    </row>
    <row r="60">
      <c r="A60" s="37" t="inlineStr">
        <is>
          <t>DEF-V31-07</t>
        </is>
      </c>
      <c r="B60" s="37" t="inlineStr">
        <is>
          <t>16 SECURITY DEFINER functions callable by anon / authenticated roles</t>
        </is>
      </c>
      <c r="C60" s="37" t="inlineStr">
        <is>
          <t>—</t>
        </is>
      </c>
      <c r="D60" s="37" t="inlineStr">
        <is>
          <t>—</t>
        </is>
      </c>
      <c r="E60" s="37" t="inlineStr">
        <is>
          <t>Production</t>
        </is>
      </c>
      <c r="F60" s="37" t="inlineStr">
        <is>
          <t>Supabase</t>
        </is>
      </c>
      <c r="G60" s="37" t="inlineStr">
        <is>
          <t>S3</t>
        </is>
      </c>
      <c r="H60" s="37" t="inlineStr">
        <is>
          <t>P3</t>
        </is>
      </c>
      <c r="I60" s="37" t="inlineStr">
        <is>
          <t>Open</t>
        </is>
      </c>
      <c r="J60" s="37" t="inlineStr">
        <is>
          <t>ARL Tech</t>
        </is>
      </c>
      <c r="K60" s="37" t="inlineStr">
        <is>
          <t>2026-05-18</t>
        </is>
      </c>
      <c r="L60" s="37" t="n"/>
      <c r="M60" s="37" t="inlineStr">
        <is>
          <t>Supabase advisor flagged 8 functions × 2 roles (anon + authenticated). Mostly notify_* trigger fns (designed SECURITY DEFINER for trigger-context inserts) plus recompute_project_units. These ARE invoked by triggers, so SECURITY DEFINER is intentional. Mitigation: REVOKE EXECUTE … FROM anon, authenticated; — the triggers still work because they run as the table owner.</t>
        </is>
      </c>
      <c r="N60" s="37" t="n"/>
    </row>
    <row r="61">
      <c r="A61" s="37" t="inlineStr">
        <is>
          <t>DEF-V31-08</t>
        </is>
      </c>
      <c r="B61" s="37" t="inlineStr">
        <is>
          <t>Supabase Auth Leaked Password Protection disabled</t>
        </is>
      </c>
      <c r="C61" s="37" t="inlineStr">
        <is>
          <t>—</t>
        </is>
      </c>
      <c r="D61" s="37" t="inlineStr">
        <is>
          <t>—</t>
        </is>
      </c>
      <c r="E61" s="37" t="inlineStr">
        <is>
          <t>Production</t>
        </is>
      </c>
      <c r="F61" s="37" t="inlineStr">
        <is>
          <t>Auth</t>
        </is>
      </c>
      <c r="G61" s="37" t="inlineStr">
        <is>
          <t>S3</t>
        </is>
      </c>
      <c r="H61" s="37" t="inlineStr">
        <is>
          <t>P3</t>
        </is>
      </c>
      <c r="I61" s="37" t="inlineStr">
        <is>
          <t>Open</t>
        </is>
      </c>
      <c r="J61" s="37" t="inlineStr">
        <is>
          <t>ARL Tech</t>
        </is>
      </c>
      <c r="K61" s="37" t="inlineStr">
        <is>
          <t>2026-05-18</t>
        </is>
      </c>
      <c r="L61" s="37" t="n"/>
      <c r="M61" s="37" t="inlineStr">
        <is>
          <t>Supabase advisor: HaveIBeenPwned check disabled. Currently all auth is via magic-link/OTP so password-leak risk is N/A for the launch path. Re-evaluate before enabling password sign-in (currently signInWithPassword exists in session_manager but no UI exposes it).</t>
        </is>
      </c>
      <c r="N61" s="37" t="n"/>
    </row>
  </sheetData>
  <mergeCells count="1">
    <mergeCell ref="A1:N1"/>
  </mergeCells>
  <conditionalFormatting sqref="G4:G53">
    <cfRule type="cellIs" priority="2" operator="equal" dxfId="12">
      <formula>"S1"</formula>
    </cfRule>
    <cfRule type="cellIs" priority="3" operator="equal" dxfId="13">
      <formula>"S2"</formula>
    </cfRule>
  </conditionalFormatting>
  <conditionalFormatting sqref="I4:I53">
    <cfRule type="cellIs" priority="4" operator="equal" dxfId="1">
      <formula>"Open"</formula>
    </cfRule>
    <cfRule type="cellIs" priority="5" operator="equal" dxfId="0">
      <formula>"Closed-Pass"</formula>
    </cfRule>
    <cfRule type="cellIs" priority="6" operator="equal" dxfId="6">
      <formula>"In Progress"</formula>
    </cfRule>
  </conditionalFormatting>
  <dataValidations count="12">
    <dataValidation sqref="E10:E53" showDropDown="0" showInputMessage="0" showErrorMessage="0" allowBlank="1" type="list" errorStyle="stop">
      <formula1>"Dev,Staging,Prod"</formula1>
      <formula2>0</formula2>
    </dataValidation>
    <dataValidation sqref="E4:E53" showDropDown="0" showInputMessage="0" showErrorMessage="0" allowBlank="1" type="list" errorStyle="stop">
      <formula1>"Dev,Staging,Prod"</formula1>
      <formula2>0</formula2>
    </dataValidation>
    <dataValidation sqref="F10:F53" showDropDown="0" showInputMessage="0" showErrorMessage="0" allowBlank="1" type="list" errorStyle="stop">
      <formula1>"Sync,Supabase,App,Auth,RLS,App / RLS,Mixed"</formula1>
      <formula2>0</formula2>
    </dataValidation>
    <dataValidation sqref="F4:F53" showDropDown="0" showInputMessage="0" showErrorMessage="0" allowBlank="1" type="list" errorStyle="stop">
      <formula1>"Sync,Supabase,App,Auth,RLS,App / RLS,Mixed"</formula1>
      <formula2>0</formula2>
    </dataValidation>
    <dataValidation sqref="G10:G53" showDropDown="0" showInputMessage="0" showErrorMessage="0" allowBlank="1" type="list" errorStyle="stop">
      <formula1>"S1,S2,S3,S4"</formula1>
      <formula2>0</formula2>
    </dataValidation>
    <dataValidation sqref="G4:G53" showDropDown="0" showInputMessage="0" showErrorMessage="0" allowBlank="1" type="list" errorStyle="stop">
      <formula1>"S1,S2,S3,S4"</formula1>
      <formula2>0</formula2>
    </dataValidation>
    <dataValidation sqref="H10:H53" showDropDown="0" showInputMessage="0" showErrorMessage="0" allowBlank="1" type="list" errorStyle="stop">
      <formula1>"P0,P1,P2,P3"</formula1>
      <formula2>0</formula2>
    </dataValidation>
    <dataValidation sqref="H4:H53" showDropDown="0" showInputMessage="0" showErrorMessage="0" allowBlank="1" type="list" errorStyle="stop">
      <formula1>"P0,P1,P2,P3"</formula1>
      <formula2>0</formula2>
    </dataValidation>
    <dataValidation sqref="I10:I53" showDropDown="0" showInputMessage="0" showErrorMessage="0" allowBlank="1" type="list" errorStyle="stop">
      <formula1>"Open,Triaged,In Progress,Ready to Re-test,Closed-Pass,Closed-Wont Fix,Closed-Duplicate"</formula1>
      <formula2>0</formula2>
    </dataValidation>
    <dataValidation sqref="I4:I53" showDropDown="0" showInputMessage="0" showErrorMessage="0" allowBlank="1" type="list" errorStyle="stop">
      <formula1>"Open,Triaged,In Progress,Ready to Re-test,Closed-Pass,Closed-Wont Fix,Closed-Duplicate"</formula1>
      <formula2>0</formula2>
    </dataValidation>
    <dataValidation sqref="N10:N53" showDropDown="0" showInputMessage="0" showErrorMessage="0" allowBlank="1" type="list" errorStyle="stop">
      <formula1>"Not Re-tested,Pass,Fail-again"</formula1>
      <formula2>0</formula2>
    </dataValidation>
    <dataValidation sqref="N4:N53" showDropDown="0" showInputMessage="0" showErrorMessage="0" allowBlank="1" type="list" errorStyle="stop">
      <formula1>"Not Re-tested,Pass,Fail-again"</formula1>
      <formula2>0</formula2>
    </dataValidation>
  </dataValidations>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7.xml><?xml version="1.0" encoding="utf-8"?>
<worksheet xmlns="http://schemas.openxmlformats.org/spreadsheetml/2006/main">
  <sheetPr>
    <outlinePr summaryBelow="1" summaryRight="1"/>
    <pageSetUpPr/>
  </sheetPr>
  <dimension ref="A1:D22"/>
  <sheetViews>
    <sheetView view="normal" zoomScale="100" zoomScaleNormal="100" workbookViewId="0">
      <selection activeCell="A1" sqref="A1"/>
    </sheetView>
  </sheetViews>
  <sheetFormatPr baseColWidth="8" defaultColWidth="8.6796875" defaultRowHeight="15" outlineLevelRow="0"/>
  <cols>
    <col width="42" customWidth="1" style="1" min="1" max="1"/>
    <col width="16" customWidth="1" style="1" min="2" max="2"/>
    <col width="14" customWidth="1" style="1" min="3" max="3"/>
    <col width="10" customWidth="1" style="1" min="4" max="4"/>
  </cols>
  <sheetData>
    <row r="1" ht="19.5" customHeight="1">
      <c r="A1" s="2" t="inlineStr">
        <is>
          <t>Test Cycle Sign-off</t>
        </is>
      </c>
    </row>
    <row r="2">
      <c r="A2" s="1" t="inlineStr">
        <is>
          <t>2026-05-11</t>
        </is>
      </c>
      <c r="B2" s="1" t="inlineStr">
        <is>
          <t>Claude (Opus 4.7)</t>
        </is>
      </c>
      <c r="C2" s="1" t="inlineStr">
        <is>
          <t>Sync pipeline fully operational. End-to-end workstream covered Contacts/LLP/Allocation push + reconcile cron + audit. 8/1/2 (Pass/Fail/Skip) on UI cases (UAT-by-data). 5 new defects logged. Visual parity not re-verified this run.</t>
        </is>
      </c>
    </row>
    <row r="3" ht="15" customHeight="1">
      <c r="A3" s="1" t="inlineStr">
        <is>
          <t>Cycle</t>
        </is>
      </c>
      <c r="B3" s="1" t="inlineStr">
        <is>
          <t>Pre-launch 2026-05-05</t>
        </is>
      </c>
    </row>
    <row r="4" ht="15" customHeight="1">
      <c r="A4" s="1" t="inlineStr">
        <is>
          <t>Build / commit</t>
        </is>
      </c>
      <c r="B4" s="1" t="inlineStr">
        <is>
          <t>&lt;fill in&gt;</t>
        </is>
      </c>
    </row>
    <row r="5" ht="15" customHeight="1">
      <c r="A5" s="1" t="inlineStr">
        <is>
          <t>Test window</t>
        </is>
      </c>
      <c r="B5" s="1" t="inlineStr">
        <is>
          <t>&lt;start&gt; to &lt;end&gt;</t>
        </is>
      </c>
    </row>
    <row r="7" ht="15" customHeight="1">
      <c r="A7" s="4" t="inlineStr">
        <is>
          <t>Exit criteria</t>
        </is>
      </c>
    </row>
    <row r="8" ht="15" customHeight="1">
      <c r="A8" s="5" t="inlineStr">
        <is>
          <t>Criterion</t>
        </is>
      </c>
      <c r="B8" s="5" t="inlineStr">
        <is>
          <t>Current</t>
        </is>
      </c>
      <c r="C8" s="5" t="inlineStr">
        <is>
          <t>Target</t>
        </is>
      </c>
      <c r="D8" s="5" t="inlineStr">
        <is>
          <t>Met?</t>
        </is>
      </c>
    </row>
    <row r="9" ht="15" customHeight="1">
      <c r="A9" s="6" t="inlineStr">
        <is>
          <t>100% of P0 cases passed</t>
        </is>
      </c>
      <c r="B9" s="6">
        <f>COUNTIFS('Test Cases'!H4:H1000,"P0",'Test Cases'!J4:J1000,"Pass")</f>
        <v/>
      </c>
      <c r="C9" s="6">
        <f>COUNTIF('Test Cases'!H4:H1000,"P0")</f>
        <v/>
      </c>
      <c r="D9" s="6">
        <f>IF(B9&gt;=C9,"YES","NO")</f>
        <v/>
      </c>
    </row>
    <row r="10" ht="15" customHeight="1">
      <c r="A10" s="6" t="inlineStr">
        <is>
          <t>100% of P1 cases passed</t>
        </is>
      </c>
      <c r="B10" s="6">
        <f>COUNTIFS('Test Cases'!H4:H1000,"P1",'Test Cases'!J4:J1000,"Pass")</f>
        <v/>
      </c>
      <c r="C10" s="6">
        <f>COUNTIF('Test Cases'!H4:H1000,"P1")</f>
        <v/>
      </c>
      <c r="D10" s="6">
        <f>IF(B10&gt;=C10,"YES","NO")</f>
        <v/>
      </c>
    </row>
    <row r="11" ht="15" customHeight="1">
      <c r="A11" s="6" t="inlineStr">
        <is>
          <t>Zero open S1 defects</t>
        </is>
      </c>
      <c r="B11" s="6">
        <f>COUNTIFS(Defects!G4:G1000,"S1",Defects!I4:I1000,"&lt;&gt;Closed-Pass",Defects!I4:I1000,"&lt;&gt;Closed-Won't Fix",Defects!I4:I1000,"&lt;&gt;Closed-Duplicate")</f>
        <v/>
      </c>
      <c r="C11" s="6" t="n">
        <v>0</v>
      </c>
      <c r="D11" s="6">
        <f>IF(B11&lt;=C11,"YES","NO")</f>
        <v/>
      </c>
    </row>
    <row r="12" ht="15" customHeight="1">
      <c r="A12" s="6" t="inlineStr">
        <is>
          <t>Zero open S2 defects (or workaround)</t>
        </is>
      </c>
      <c r="B12" s="6">
        <f>COUNTIFS(Defects!G4:G1000,"S2",Defects!I4:I1000,"&lt;&gt;Closed-Pass",Defects!I4:I1000,"&lt;&gt;Closed-Won't Fix",Defects!I4:I1000,"&lt;&gt;Closed-Duplicate")</f>
        <v/>
      </c>
      <c r="C12" s="6" t="n">
        <v>0</v>
      </c>
      <c r="D12" s="6">
        <f>IF(B12&lt;=C12,"YES","NO")</f>
        <v/>
      </c>
    </row>
    <row r="13" ht="15" customHeight="1">
      <c r="A13" s="6" t="inlineStr">
        <is>
          <t>Daily UAT clean for 3+ days</t>
        </is>
      </c>
      <c r="B13" s="6">
        <f>COUNTIF('Daily UAT'!E22:K22,1)</f>
        <v/>
      </c>
      <c r="C13" s="6" t="n">
        <v>3</v>
      </c>
      <c r="D13" s="6">
        <f>IF(B13&gt;=C13,"YES","NO")</f>
        <v/>
      </c>
    </row>
    <row r="15" ht="15" customHeight="1">
      <c r="A15" s="4" t="inlineStr">
        <is>
          <t>Signatures</t>
        </is>
      </c>
    </row>
    <row r="16" ht="15" customHeight="1">
      <c r="A16" s="5" t="inlineStr">
        <is>
          <t>Role</t>
        </is>
      </c>
      <c r="B16" s="5" t="inlineStr">
        <is>
          <t>Name</t>
        </is>
      </c>
      <c r="C16" s="5" t="inlineStr">
        <is>
          <t>Date</t>
        </is>
      </c>
    </row>
    <row r="17" ht="15" customHeight="1">
      <c r="A17" s="6" t="inlineStr">
        <is>
          <t>Test lead</t>
        </is>
      </c>
      <c r="B17" s="6" t="n"/>
      <c r="C17" s="6" t="n"/>
    </row>
    <row r="18" ht="15" customHeight="1">
      <c r="A18" s="6" t="inlineStr">
        <is>
          <t>Engineering</t>
        </is>
      </c>
      <c r="B18" s="6" t="n"/>
      <c r="C18" s="6" t="n"/>
    </row>
    <row r="19" ht="15" customHeight="1">
      <c r="A19" s="6" t="inlineStr">
        <is>
          <t>Product</t>
        </is>
      </c>
      <c r="B19" s="6" t="n"/>
      <c r="C19" s="6" t="n"/>
    </row>
    <row r="20" ht="15" customHeight="1">
      <c r="A20" s="6" t="inlineStr">
        <is>
          <t>ARL Tech (final)</t>
        </is>
      </c>
      <c r="B20" s="6" t="n"/>
      <c r="C20" s="6" t="n"/>
    </row>
    <row r="21">
      <c r="A21" t="inlineStr">
        <is>
          <t>2026-05-16</t>
        </is>
      </c>
      <c r="B21" t="inlineStr">
        <is>
          <t>Claude (Opus 4.7)</t>
        </is>
      </c>
      <c r="C21" t="inlineStr">
        <is>
          <t>v29 (auto-onboard + hard-delete) E2E completed. Auto-onboard works (closes DEF-V27-01). Hard-delete CASCADE works for Contacts + LLPs. 13/4/1 Pass/Fail/Skip on 18 v29 cases. 4 new defects: DEF-V29-01 (P1 alloc-delete webhook silent), DEF-V29-02 (P2 phone unmapped), DEF-V29-03 (P1 LLP webhook 400 regression for some payload shapes), DEF-V29-04 (P2 payout slot-1 drops). Ship verdict: NO-GO — two P1 regressions block.</t>
        </is>
      </c>
    </row>
    <row r="22">
      <c r="A22" t="inlineStr">
        <is>
          <t>2026-05-18</t>
        </is>
      </c>
      <c r="B22" t="inlineStr">
        <is>
          <t>Claude (Opus 4.7) — backend pass + tracker rebuild</t>
        </is>
      </c>
      <c r="C22" t="inlineStr">
        <is>
          <t>v31 E2E run. 25 pass / 3 fail / 32 skip / 2 blocked of 62 cases. 8 new defects (DEF-V31-01..08). UI cases (~28) deferred to manual run on QA build — Chrome MCP unreachable from sandbox. Ship verdict: AMBER — CORS regression (DEF-V31-01) and unit_price NULLs (DEF-V31-04) should be addressed before private email launch.</t>
        </is>
      </c>
    </row>
  </sheetData>
  <mergeCells count="1">
    <mergeCell ref="A1:D1"/>
  </mergeCells>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8.xml><?xml version="1.0" encoding="utf-8"?>
<worksheet xmlns="http://schemas.openxmlformats.org/spreadsheetml/2006/main">
  <sheetPr>
    <outlinePr summaryBelow="1" summaryRight="1"/>
    <pageSetUpPr/>
  </sheetPr>
  <dimension ref="A1:H10"/>
  <sheetViews>
    <sheetView zoomScale="100" zoomScaleNormal="100" workbookViewId="0">
      <selection activeCell="A1" sqref="A1"/>
    </sheetView>
  </sheetViews>
  <sheetFormatPr baseColWidth="8" defaultRowHeight="15" outlineLevelRow="0"/>
  <cols>
    <col width="22" customWidth="1" min="1" max="1"/>
    <col width="36" customWidth="1" min="2" max="3"/>
    <col width="22" customWidth="1" min="4" max="4"/>
    <col width="50" customWidth="1" min="5" max="5"/>
    <col width="38" customWidth="1" min="6" max="6"/>
    <col width="50" customWidth="1" min="7" max="7"/>
    <col width="24" customWidth="1" min="8" max="8"/>
  </cols>
  <sheetData>
    <row r="1" customFormat="1" s="14">
      <c r="A1" s="15" t="inlineStr">
        <is>
          <t>CRM Module</t>
        </is>
      </c>
      <c r="B1" s="15" t="inlineStr">
        <is>
          <t>CRM Trigger</t>
        </is>
      </c>
      <c r="C1" s="15" t="inlineStr">
        <is>
          <t>Supabase Tables</t>
        </is>
      </c>
      <c r="D1" s="15" t="inlineStr">
        <is>
          <t>Webhook Handler</t>
        </is>
      </c>
      <c r="E1" s="15" t="inlineStr">
        <is>
          <t>Last Webhook Event</t>
        </is>
      </c>
      <c r="F1" s="15" t="inlineStr">
        <is>
          <t>Last Row updated_at</t>
        </is>
      </c>
      <c r="G1" s="15" t="inlineStr">
        <is>
          <t>Drift Confirmed (Y/N)</t>
        </is>
      </c>
      <c r="H1" s="15" t="inlineStr">
        <is>
          <t>Linked Defect</t>
        </is>
      </c>
    </row>
    <row r="2">
      <c r="A2" s="16" t="inlineStr">
        <is>
          <t>Contacts</t>
        </is>
      </c>
      <c r="B2" s="16" t="inlineStr">
        <is>
          <t>Investor create/update (auth lifecycle: KYC, bank, profile flags)</t>
        </is>
      </c>
      <c r="C2" s="16" t="inlineStr">
        <is>
          <t>investors</t>
        </is>
      </c>
      <c r="D2" s="16" t="inlineStr">
        <is>
          <t>handleContact()</t>
        </is>
      </c>
      <c r="E2" s="16" t="inlineStr">
        <is>
          <t>2026-05-11T10:39Z status=processed (Push_Contact_To_Supabase Deluge)</t>
        </is>
      </c>
      <c r="F2" s="16" t="inlineStr">
        <is>
          <t>2026-04-29T20:57:35Z (Sahil Mohite)</t>
        </is>
      </c>
      <c r="G2" s="16" t="inlineStr">
        <is>
          <t>N (handler + reconcile both verified writing last_synced_at)</t>
        </is>
      </c>
      <c r="H2" s="16" t="inlineStr">
        <is>
          <t>DEF-2026-05-07-03</t>
        </is>
      </c>
    </row>
    <row r="3">
      <c r="A3" s="16" t="inlineStr">
        <is>
          <t>LLP_Creation_Module</t>
        </is>
      </c>
      <c r="B3" s="16" t="inlineStr">
        <is>
          <t>LLP create/update (legal metadata + project operational fields)</t>
        </is>
      </c>
      <c r="C3" s="16" t="inlineStr">
        <is>
          <t>llps + projects</t>
        </is>
      </c>
      <c r="D3" s="16" t="inlineStr">
        <is>
          <t>handleProject()</t>
        </is>
      </c>
      <c r="E3" s="16" t="inlineStr">
        <is>
          <t>2026-05-11T10:42Z status=processed (manual fire post UAT LLP create)</t>
        </is>
      </c>
      <c r="F3" s="16" t="inlineStr">
        <is>
          <t>llps 2026-04-29T20:57:35Z / projects 2026-04-29T20:39:04Z</t>
        </is>
      </c>
      <c r="G3" s="16" t="inlineStr">
        <is>
          <t>N (LLP fields populated; is_listed_in_marketplace gap → DEF-2026-05-11-01)</t>
        </is>
      </c>
      <c r="H3" s="16" t="inlineStr">
        <is>
          <t>DEF-2026-05-07-03</t>
        </is>
      </c>
    </row>
    <row r="4">
      <c r="A4" s="16" t="inlineStr">
        <is>
          <t>LLP_UnitAllocation_Module</t>
        </is>
      </c>
      <c r="B4" s="16" t="inlineStr">
        <is>
          <t>Allocation create/update (units, capital, payment status, payouts)</t>
        </is>
      </c>
      <c r="C4" s="16" t="inlineStr">
        <is>
          <t>investor_units (+ payouts, notifications side effects)</t>
        </is>
      </c>
      <c r="D4" s="16" t="inlineStr">
        <is>
          <t>handleAllocation()</t>
        </is>
      </c>
      <c r="E4" s="16" t="inlineStr">
        <is>
          <t>2026-05-11T10:42Z status=processed (allocation create via webhook)</t>
        </is>
      </c>
      <c r="F4" s="16" t="inlineStr">
        <is>
          <t>investor_units 2026-04-29T16:23-16:59Z; payouts=0; notifications=0</t>
        </is>
      </c>
      <c r="G4" s="16" t="inlineStr">
        <is>
          <t>N (allocation_status + dates landing post asNumber+asDate patches)</t>
        </is>
      </c>
      <c r="H4" s="16" t="inlineStr">
        <is>
          <t>DEF-2026-05-07-02 + DEF-2026-05-07-03</t>
        </is>
      </c>
    </row>
    <row r="5">
      <c r="A5" s="16" t="inlineStr">
        <is>
          <t>Attachments (gallery)</t>
        </is>
      </c>
      <c r="B5" s="16" t="inlineStr">
        <is>
          <t>Daily pull cron 06:00 IST (gallery-sync function)</t>
        </is>
      </c>
      <c r="C5" s="16" t="inlineStr">
        <is>
          <t>gallery_photos + Storage bucket arl-gallery</t>
        </is>
      </c>
      <c r="D5" s="16" t="inlineStr">
        <is>
          <t>gallery-sync (pull, not webhook)</t>
        </is>
      </c>
      <c r="E5" s="16" t="inlineStr">
        <is>
          <t>(unchanged — gallery-sync cron 06:00 IST daily)</t>
        </is>
      </c>
      <c r="F5" s="16" t="inlineStr">
        <is>
          <t>gallery_photos visibility RLS-blocked from this query</t>
        </is>
      </c>
      <c r="G5" s="16" t="inlineStr">
        <is>
          <t>Unknown (not re-investigated this week)</t>
        </is>
      </c>
      <c r="H5" s="16" t="inlineStr">
        <is>
          <t>-</t>
        </is>
      </c>
    </row>
    <row r="7" customFormat="1" s="14">
      <c r="A7" s="14" t="inlineStr">
        <is>
          <t>Notes:</t>
        </is>
      </c>
    </row>
    <row r="8">
      <c r="A8" t="inlineStr">
        <is>
          <t>- All "Last Webhook Event" rows reflect webhook_log being completely empty (0 total rows) as of 2026-05-07. Either Zoho workflows are not configured to POST to /functions/v1/zoho-crm-webhook, or they are POSTing with a wrong X-ARL-Webhook-Secret (rejected before logging).</t>
        </is>
      </c>
    </row>
    <row r="9">
      <c r="A9" t="inlineStr">
        <is>
          <t>- After migrations 023 + 024 land + Zoho workflows are configured, expect: webhook_log rows arriving within seconds of CRM edits, llps/projects/investors/investor_units.last_synced_at populated, and zoho-reconcile-daily as fallback at 01:00 UTC.</t>
        </is>
      </c>
    </row>
    <row r="10">
      <c r="A10" t="inlineStr">
        <is>
          <t>- sync-stale-alert (hourly) writes to public.sync_alerts when max(last_synced_at) exceeds per-table thresholds (llps/projects 24h, investors 6h, investor_units 2h).</t>
        </is>
      </c>
    </row>
  </sheetData>
  <pageMargins left="0.7" right="0.7" top="0.75" bottom="0.75" header="0.3" footer="0.3"/>
  <pageSetup orientation="portrait" scale="100" fitToHeight="1" fitToWidth="1" firstPageNumber="1" useFirstPageNumber="1" horizontalDpi="4294967295" verticalDpi="4294967295" copies="1"/>
</worksheet>
</file>

<file path=xl/worksheets/sheet9.xml><?xml version="1.0" encoding="utf-8"?>
<worksheet xmlns="http://schemas.openxmlformats.org/spreadsheetml/2006/main">
  <sheetPr>
    <outlinePr summaryBelow="1" summaryRight="1"/>
    <pageSetUpPr/>
  </sheetPr>
  <dimension ref="A1:I32"/>
  <sheetViews>
    <sheetView zoomScale="100" zoomScaleNormal="100" workbookViewId="0">
      <pane ySplit="5" topLeftCell="A6" activePane="bottomLeft" state="frozen"/>
      <selection pane="bottomLeft" activeCell="A1" sqref="A1"/>
    </sheetView>
  </sheetViews>
  <sheetFormatPr baseColWidth="8" defaultRowHeight="15" outlineLevelRow="0"/>
  <cols>
    <col width="14" customWidth="1" min="1" max="1"/>
    <col width="38" customWidth="1" min="2" max="2"/>
    <col width="10" customWidth="1" min="3" max="3"/>
    <col width="56" customWidth="1" min="4" max="4"/>
    <col width="70" customWidth="1" min="5" max="5"/>
    <col width="13" customWidth="1" min="6" max="6"/>
    <col width="12" customWidth="1" min="8" max="8"/>
    <col width="8" customWidth="1" min="9" max="9"/>
  </cols>
  <sheetData>
    <row r="1">
      <c r="A1" s="17" t="inlineStr">
        <is>
          <t>Flutter Feature Audit — current implementation</t>
        </is>
      </c>
    </row>
    <row r="2" ht="32" customHeight="1">
      <c r="A2" s="18" t="inlineStr">
        <is>
          <t>End-to-end audit of every screen under lib/features/ (Growize / ARL Investor Portal). Pass = wired with real Supabase + live navigation. Partial = wired but data/action stubbed. Fail = dead screen, no persistence, or unreachable.</t>
        </is>
      </c>
    </row>
    <row r="3">
      <c r="A3" s="19" t="inlineStr">
        <is>
          <t>Analyzer baseline: 'No issues found' (per analyze_output.txt). Tested on 2026-05-12.</t>
        </is>
      </c>
    </row>
    <row r="5" ht="22" customHeight="1">
      <c r="A5" s="20" t="inlineStr">
        <is>
          <t>Feature</t>
        </is>
      </c>
      <c r="B5" s="20" t="inlineStr">
        <is>
          <t>Screen</t>
        </is>
      </c>
      <c r="C5" s="20" t="inlineStr">
        <is>
          <t>Status</t>
        </is>
      </c>
      <c r="D5" s="20" t="inlineStr">
        <is>
          <t>Notes</t>
        </is>
      </c>
      <c r="E5" s="20" t="inlineStr">
        <is>
          <t>User Journey</t>
        </is>
      </c>
      <c r="F5" s="20" t="inlineStr">
        <is>
          <t>Last Tested</t>
        </is>
      </c>
      <c r="H5" s="21" t="inlineStr">
        <is>
          <t>Summary</t>
        </is>
      </c>
    </row>
    <row r="6" ht="90" customHeight="1">
      <c r="A6" s="22" t="inlineStr">
        <is>
          <t>auth</t>
        </is>
      </c>
      <c r="B6" s="22" t="inlineStr">
        <is>
          <t>AuthScreen (auth_screen.dart)</t>
        </is>
      </c>
      <c r="C6" s="23" t="inlineStr">
        <is>
          <t>Pass</t>
        </is>
      </c>
      <c r="D6" s="22" t="inlineStr">
        <is>
          <t>Routed at /auth (public). Entry to Sign In + Get Started. SessionManager handles real Supabase auth. Dev bypass flag (ARL_DEV_BYPASS=true) works for design preview.</t>
        </is>
      </c>
      <c r="E6" s="22" t="inlineStr">
        <is>
          <t>User opens app unauthenticated → AuthScreen renders 'Growize' title with two buttons. 'Sign In' routes to /login. 'Get Started' routes to /setup. After successful auth, GoRouter refresh redirects to /.</t>
        </is>
      </c>
      <c r="F6" s="22" t="inlineStr">
        <is>
          <t>2026-05-12</t>
        </is>
      </c>
      <c r="H6" s="24" t="inlineStr">
        <is>
          <t>Total</t>
        </is>
      </c>
      <c r="I6" s="25">
        <f>COUNTA(B6:B32)</f>
        <v/>
      </c>
    </row>
    <row r="7" ht="90" customHeight="1">
      <c r="A7" s="26" t="inlineStr">
        <is>
          <t>auth</t>
        </is>
      </c>
      <c r="B7" s="26" t="inlineStr">
        <is>
          <t>LoginScreen (login_screen.dart)</t>
        </is>
      </c>
      <c r="C7" s="23" t="inlineStr">
        <is>
          <t>Pass</t>
        </is>
      </c>
      <c r="D7" s="26" t="inlineStr">
        <is>
          <t>Email/password + email OTP fallback, password reset modal. Calls real Supabase signInWithEmailPassword / signInWithOtp / verifyEmailOtp / requestPasswordReset.</t>
        </is>
      </c>
      <c r="E7" s="26" t="inlineStr">
        <is>
          <t>From /auth tap Sign In → /login. User enters email+password and submits, OR switches to OTP mode (enter email, request OTP, enter code). On success, SessionManager fires authStateChange → router redirects to /home. 'Forgot password' opens reset modal that hits Supabase.</t>
        </is>
      </c>
      <c r="F7" s="26" t="inlineStr">
        <is>
          <t>2026-05-12</t>
        </is>
      </c>
      <c r="H7" s="24" t="inlineStr">
        <is>
          <t>Pass</t>
        </is>
      </c>
      <c r="I7" s="25">
        <f>COUNTIF(C6:C32,"Pass")</f>
        <v/>
      </c>
    </row>
    <row r="8" ht="90" customHeight="1">
      <c r="A8" s="22" t="inlineStr">
        <is>
          <t>auth</t>
        </is>
      </c>
      <c r="B8" s="22" t="inlineStr">
        <is>
          <t>InitialSetupScreen (setup_screen.dart)</t>
        </is>
      </c>
      <c r="C8" s="27" t="inlineStr">
        <is>
          <t>Pass</t>
        </is>
      </c>
      <c r="D8" s="22" t="inlineStr">
        <is>
          <t>3-step wizard now persists on submit via InvestorRepository.upsertOnboarding -&gt; investors row keyed to auth.uid(). Validators: PAN ^[A-Z]{5}[0-9]{4}[A-Z]$, Aadhaar 12 digits, IFSC ^[A-Z]{4}0[A-Z0-9]{6}$, account 9-18 digits, DOB DD-MM-YYYY not in future, email regex. Inline errors via TextFormField + AutovalidateMode.onUserInteraction. PAN/Aadhaar/account stored as masked tail only - full numbers never reach DB. Migration 027: INSERT + UPDATE RLS for own row, GRANT to authenticated, arl_id nullable. Submit -&gt; snackbar + go(home). Analyzer clean. Documented in ops_admin_guide.md §6.3 Investor self-onboarding (InitialSetupScreen).</t>
        </is>
      </c>
      <c r="E8" s="22" t="inlineStr">
        <is>
          <t>From /auth tap 'Get Started' -&gt; /setup. Step 1 collects full name, email (pre-filled from auth user), DOB; Continue validates inline. Step 2 collects PAN (auto-uppercased) + Aadhaar (digits only, max 12). Step 3 collects bank name, IFSC, account, holder name. Submit shows spinner, calls upsertOnboarding which writes id, name, email, kyc_status='pending', date_of_birth, plus masked pan/aadhaar/account, bank_name, bank_ifsc, bank_holder_name. Success -&gt; currentInvestorProvider invalidated, snackbar, go(home).</t>
        </is>
      </c>
      <c r="F8" s="22" t="inlineStr">
        <is>
          <t>2026-05-12</t>
        </is>
      </c>
      <c r="H8" s="24" t="inlineStr">
        <is>
          <t>Partial</t>
        </is>
      </c>
      <c r="I8" s="25">
        <f>COUNTIF(C6:C32,"Partial")</f>
        <v/>
      </c>
    </row>
    <row r="9" ht="90" customHeight="1">
      <c r="A9" s="26" t="inlineStr">
        <is>
          <t>auth</t>
        </is>
      </c>
      <c r="B9" s="26" t="inlineStr">
        <is>
          <t>BiometricScreen (biometric_screen.dart)</t>
        </is>
      </c>
      <c r="C9" s="28" t="inlineStr">
        <is>
          <t>Pass</t>
        </is>
      </c>
      <c r="D9" s="26" t="inlineStr">
        <is>
          <t>Registered at /biometric outside the ShellRoute (full-screen, no bottom nav). Pops with bool result: true on biometric success, false on cancel. Reached as an enrollment gate from SecurityScreen when the Biometric Login toggle is turned on; the persisted biometric_enabled flag flips only after a real BiometricGuard check passes. Legacy direct-entry path still routes to home on success. Analyzer clean. Documented in ops_admin_guide.md §6.2 Biometric enrollment gate (BiometricScreen).</t>
        </is>
      </c>
      <c r="E9" s="26" t="inlineStr">
        <is>
          <t>From SecurityScreen, toggle Biometric Login ON -&gt; BiometricScreen pushed full-screen. Fingerprint icon, 'Verify to continue', auto-attempts local_auth on open. On success, screen pops with true and SecurityScreen persists biometric_enabled=true via UserSettingsRepository. On cancel/fail, pops with false and the switch reverts. Turning the toggle OFF persists directly without another biometric prompt.</t>
        </is>
      </c>
      <c r="F9" s="26" t="inlineStr">
        <is>
          <t>2026-05-12</t>
        </is>
      </c>
      <c r="H9" s="24" t="inlineStr">
        <is>
          <t>Fail</t>
        </is>
      </c>
      <c r="I9" s="25">
        <f>COUNTIF(C6:C32,"Fail")</f>
        <v/>
      </c>
    </row>
    <row r="10" ht="90" customHeight="1">
      <c r="A10" s="22" t="inlineStr">
        <is>
          <t>auth</t>
        </is>
      </c>
      <c r="B10" s="22" t="inlineStr">
        <is>
          <t>SessionManager (core/auth/session_manager.dart)</t>
        </is>
      </c>
      <c r="C10" s="23" t="inlineStr">
        <is>
          <t>Pass</t>
        </is>
      </c>
      <c r="D10" s="22" t="inlineStr">
        <is>
          <t>authStateChanges stream powers GoRouterRefreshStream. isLoggedInProvider drives redirect logic. Public routes set: /auth, /login, /setup.</t>
        </is>
      </c>
      <c r="E10" s="22" t="inlineStr">
        <is>
          <t>Not a screen — backbone. Any auth change emits → router re-evaluates redirect → users on private routes when logged-out get bounced to /auth, and vice versa.</t>
        </is>
      </c>
      <c r="F10" s="22" t="inlineStr">
        <is>
          <t>2026-05-12</t>
        </is>
      </c>
    </row>
    <row r="11" ht="90" customHeight="1">
      <c r="A11" s="26" t="inlineStr">
        <is>
          <t>home</t>
        </is>
      </c>
      <c r="B11" s="26" t="inlineStr">
        <is>
          <t>HomeScreen (home_screen.dart)</t>
        </is>
      </c>
      <c r="C11" s="23" t="inlineStr">
        <is>
          <t>Pass</t>
        </is>
      </c>
      <c r="D11" s="26" t="inlineStr">
        <is>
          <t>Routed at /. Dashboard with greeting, project selector pill, portfolio card, project progress, quick stats. Calls portfolio_summary view via financials repository. AsyncValue handled with skeletons. Falls back to demoPortfolioSummary for unauthenticated preview.</t>
        </is>
      </c>
      <c r="E11" s="26" t="inlineStr">
        <is>
          <t>Default landing after login. Skeleton shows briefly → renders greeting using investor first name, then PortfolioCard (total invested / returns / units / ROI), ProjectProgressCard (allocation by project), QuickStatsRow. Tapping the project selector pill at top routes to /project-selector to scope dashboard data.</t>
        </is>
      </c>
      <c r="F11" s="26" t="inlineStr">
        <is>
          <t>2026-05-12</t>
        </is>
      </c>
    </row>
    <row r="12" ht="90" customHeight="1">
      <c r="A12" s="22" t="inlineStr">
        <is>
          <t>home</t>
        </is>
      </c>
      <c r="B12" s="22" t="inlineStr">
        <is>
          <t>PortfolioCard / ProjectProgressCard / QuickStatsRow</t>
        </is>
      </c>
      <c r="C12" s="23" t="inlineStr">
        <is>
          <t>Pass</t>
        </is>
      </c>
      <c r="D12" s="22" t="inlineStr">
        <is>
          <t>Pure stateless widgets; consume PortfolioSummary from provider. No own backend.</t>
        </is>
      </c>
      <c r="E12" s="22" t="inlineStr">
        <is>
          <t>Sub-widgets of HomeScreen only. Always rendered together with the same provider data.</t>
        </is>
      </c>
      <c r="F12" s="22" t="inlineStr">
        <is>
          <t>2026-05-12</t>
        </is>
      </c>
    </row>
    <row r="13" ht="90" customHeight="1">
      <c r="A13" s="26" t="inlineStr">
        <is>
          <t>projects</t>
        </is>
      </c>
      <c r="B13" s="26" t="inlineStr">
        <is>
          <t>ProjectsListScreen (projects_list_screen.dart)</t>
        </is>
      </c>
      <c r="C13" s="23" t="inlineStr">
        <is>
          <t>Pass</t>
        </is>
      </c>
      <c r="D13" s="26" t="inlineStr">
        <is>
          <t>Routed at /projects. projectsProvider queries supabase.from('projects'). Demo fallback for unauthenticated only.</t>
        </is>
      </c>
      <c r="E13" s="26" t="inlineStr">
        <is>
          <t>Tap Projects in bottom nav → list of cards (one per investor's project) with name, progress bar, invested amount, status pill. Tap a card → /projects/:id ProjectDetailScreen.</t>
        </is>
      </c>
      <c r="F13" s="26" t="inlineStr">
        <is>
          <t>2026-05-12</t>
        </is>
      </c>
    </row>
    <row r="14" ht="90" customHeight="1">
      <c r="A14" s="22" t="inlineStr">
        <is>
          <t>projects</t>
        </is>
      </c>
      <c r="B14" s="22" t="inlineStr">
        <is>
          <t>ProjectDetailScreen (project_detail_screen.dart)</t>
        </is>
      </c>
      <c r="C14" s="23" t="inlineStr">
        <is>
          <t>Pass</t>
        </is>
      </c>
      <c r="D14" s="22" t="inlineStr">
        <is>
          <t>Routed at /projects/:id. Uses projectByIdProvider + investorAllocationProvider + investorUnitsListProvider + projectPhasesProvider — all real Supabase.</t>
        </is>
      </c>
      <c r="E14" s="22" t="inlineStr">
        <is>
          <t>Reached from list tap. Shows project header, phase timeline (feature-gated, hidden 6mo post-investment), investment breakdown (units × unit_value), annual yield. Button 'View Area' pushes /location/:projectId.</t>
        </is>
      </c>
      <c r="F14" s="22" t="inlineStr">
        <is>
          <t>2026-05-12</t>
        </is>
      </c>
    </row>
    <row r="15" ht="90" customHeight="1">
      <c r="A15" s="26" t="inlineStr">
        <is>
          <t>projects</t>
        </is>
      </c>
      <c r="B15" s="26" t="inlineStr">
        <is>
          <t>ProjectSelectorScreen (project_selector_screen.dart)</t>
        </is>
      </c>
      <c r="C15" s="23" t="inlineStr">
        <is>
          <t>Pass</t>
        </is>
      </c>
      <c r="D15" s="26" t="inlineStr">
        <is>
          <t>Routed at /project-selector. Updates selectedProjectIdProvider used by Home + Financials + Gallery for scoping.</t>
        </is>
      </c>
      <c r="E15" s="26" t="inlineStr">
        <is>
          <t>Reached from project pill on Home/Financials. Shows 'All Projects' option + list of investor's projects. Tap to select → updates selectedProjectIdProvider → caller screens recompute → pops back.</t>
        </is>
      </c>
      <c r="F15" s="26" t="inlineStr">
        <is>
          <t>2026-05-12</t>
        </is>
      </c>
    </row>
    <row r="16" ht="90" customHeight="1">
      <c r="A16" s="22" t="inlineStr">
        <is>
          <t>projects</t>
        </is>
      </c>
      <c r="B16" s="22" t="inlineStr">
        <is>
          <t>LocationScreen (location_screen.dart)</t>
        </is>
      </c>
      <c r="C16" s="27" t="inlineStr">
        <is>
          <t>Partial</t>
        </is>
      </c>
      <c r="D16" s="22" t="inlineStr">
        <is>
          <t>Routed at /location/:projectId. Static placeholder map + region attributes (climate, soil, water). No real geolocation or tile rendering.</t>
        </is>
      </c>
      <c r="E16" s="22" t="inlineStr">
        <is>
          <t>From ProjectDetailScreen 'View Area' button. Shows static 'map' image + textual region info. No interactive map (Mapbox/Google Maps not integrated). Back button returns to project detail.</t>
        </is>
      </c>
      <c r="F16" s="22" t="inlineStr">
        <is>
          <t>2026-05-12</t>
        </is>
      </c>
    </row>
    <row r="17" ht="90" customHeight="1">
      <c r="A17" s="26" t="inlineStr">
        <is>
          <t>financials</t>
        </is>
      </c>
      <c r="B17" s="26" t="inlineStr">
        <is>
          <t>FinancialsScreen (financials_screen.dart)</t>
        </is>
      </c>
      <c r="C17" s="23" t="inlineStr">
        <is>
          <t>Pass</t>
        </is>
      </c>
      <c r="D17" s="26" t="inlineStr">
        <is>
          <t>Routed at /financials. Two tabs: Payouts (real payouts table query joined with projects) and Financials (portfolio_summary view + computed projections). Reactive to selectedProjectIdProvider.</t>
        </is>
      </c>
      <c r="E17" s="26" t="inlineStr">
        <is>
          <t>Tap Financials tab in bottom nav. Tab 1 'Payouts': ledger of bank transfers with UTR ref or 'Awaiting transfer' status, This-FY earnings card, tax info banner. Tab 2 'Financials': capital invested vs returns, risk/return quadrant scatter, 5-year earnings outlook bars. Top button 'All Projects' opens /project-selector for scoping.</t>
        </is>
      </c>
      <c r="F17" s="26" t="inlineStr">
        <is>
          <t>2026-05-12</t>
        </is>
      </c>
    </row>
    <row r="18" ht="90" customHeight="1">
      <c r="A18" s="22" t="inlineStr">
        <is>
          <t>explore</t>
        </is>
      </c>
      <c r="B18" s="22" t="inlineStr">
        <is>
          <t>ExploreScreen (explore_screen.dart)</t>
        </is>
      </c>
      <c r="C18" s="27" t="inlineStr">
        <is>
          <t>Pass</t>
        </is>
      </c>
      <c r="D18" s="22" t="inlineStr">
        <is>
          <t>'Request Consultation' CTA now writes a row to consultation_requests via ConsultationRequestsRepository (RLS scoped to auth.uid()). Button shows a spinner and is disabled in-flight; 24h dedup check first - if the same user has an open 'new' request for this project within 24h, no duplicate insert is made and the toast says we already have the request. Migration 028 adds the table + RLS + indexes. Analyzer clean. Documented in ops_admin_guide.md §6.4 Consultation requests (ExploreScreen).</t>
        </is>
      </c>
      <c r="E18" s="22" t="inlineStr">
        <is>
          <t>Tap Explore in bottom nav -&gt; filter pills + grid of marketplace projects. Open one, choose unit count via slider/custom input, then tap 'Request Consultation'. Button swaps for an inline spinner, ConsultationRequestsRepository.createConsultation runs the 24h dedup query, then either inserts a new row or returns the existing one. Toast confirms the submission. Subsequent taps within 24h surface the friendly 'already requested' message instead of duplicating.</t>
        </is>
      </c>
      <c r="F18" s="22" t="inlineStr">
        <is>
          <t>2026-05-12</t>
        </is>
      </c>
    </row>
    <row r="19" ht="90" customHeight="1">
      <c r="A19" s="26" t="inlineStr">
        <is>
          <t>gallery</t>
        </is>
      </c>
      <c r="B19" s="26" t="inlineStr">
        <is>
          <t>GalleryScreen (gallery_screen.dart)</t>
        </is>
      </c>
      <c r="C19" s="27" t="inlineStr">
        <is>
          <t>Partial</t>
        </is>
      </c>
      <c r="D19" s="26" t="inlineStr">
        <is>
          <t>Routed at /gallery. galleryProvider scoped by selectedProjectIdProvider, queries gallery_photos table + batch signed URLs via StorageHelper. CachedNetworkImage for tiles.</t>
        </is>
      </c>
      <c r="E19" s="26" t="inlineStr">
        <is>
          <t>Tap Gallery in bottom nav. Photos grouped by date (newest first), 3-column grid. Banner: 'Photos captured daily at 9:00 AM IST'. Tiles show #index badge. NO tap handler on tiles — cannot open lightbox or see captions. Empty state for projects with no photos.</t>
        </is>
      </c>
      <c r="F19" s="26" t="inlineStr">
        <is>
          <t>2026-05-12</t>
        </is>
      </c>
    </row>
    <row r="20" ht="90" customHeight="1">
      <c r="A20" s="22" t="inlineStr">
        <is>
          <t>documents</t>
        </is>
      </c>
      <c r="B20" s="22" t="inlineStr">
        <is>
          <t>DocumentsScreen (documents_screen.dart)</t>
        </is>
      </c>
      <c r="C20" s="23" t="inlineStr">
        <is>
          <t>Pass</t>
        </is>
      </c>
      <c r="D20" s="22" t="inlineStr">
        <is>
          <t>Routed at /documents. documentsProvider calls DocumentsRepository.myDocuments() → supabase.from('documents') + signed URLs. Hive offline cache. Read-only.</t>
        </is>
      </c>
      <c r="E20" s="22" t="inlineStr">
        <is>
          <t>Tap Documents in bottom nav OR from Profile menu. Accordion sections by category (Legal Agreements / Contracts / KYC / Other). Tap section → expands list of files (name, upload date, size). Eye icon → opens signed URL in external browser via url_launcher. Offline mode uses cached metadata.</t>
        </is>
      </c>
      <c r="F20" s="22" t="inlineStr">
        <is>
          <t>2026-05-12</t>
        </is>
      </c>
    </row>
    <row r="21" ht="90" customHeight="1">
      <c r="A21" s="26" t="inlineStr">
        <is>
          <t>activity</t>
        </is>
      </c>
      <c r="B21" s="26" t="inlineStr">
        <is>
          <t>ActivityScreen (activity_screen.dart)</t>
        </is>
      </c>
      <c r="C21" s="23" t="inlineStr">
        <is>
          <t>Pass</t>
        </is>
      </c>
      <c r="D21" s="26" t="inlineStr">
        <is>
          <t>Routed at /activity. Two views: Notifications (real Supabase via activityRepository) + Activity History (intentionally stubbed). unreadCountProvider + markAllRead wired.</t>
        </is>
      </c>
      <c r="E21" s="26" t="inlineStr">
        <is>
          <t>Tap Activity in bottom nav. Default 'Notifications' view: cards colored by type (payout=gold, success=green, warning=orange) with optional CTA. CTA from metadata.cta_route navigates to /projects/:id etc. Filter chips (All / Operational / Payouts). Toggle to 'History' view — empty state for authenticated users (stubbed); demo timeline for unauthenticated preview.</t>
        </is>
      </c>
      <c r="F21" s="26" t="inlineStr">
        <is>
          <t>2026-05-12</t>
        </is>
      </c>
    </row>
    <row r="22" ht="90" customHeight="1">
      <c r="A22" s="22" t="inlineStr">
        <is>
          <t>profile</t>
        </is>
      </c>
      <c r="B22" s="22" t="inlineStr">
        <is>
          <t>ProfileScreen (profile_screen.dart)</t>
        </is>
      </c>
      <c r="C22" s="23" t="inlineStr">
        <is>
          <t>Pass</t>
        </is>
      </c>
      <c r="D22" s="22" t="inlineStr">
        <is>
          <t>Routed at /profile. currentInvestorProvider + projectsProvider + portfolioSummaryProvider all live. Hive cache fallback for investor row.</t>
        </is>
      </c>
      <c r="E22" s="22" t="inlineStr">
        <is>
          <t>Tap Profile in bottom nav. Header: avatar initials + name + KYC badge + project count + invested amount. 'Active Projects' card. Account section: KYC Details → /kyc, Bank Details → /bank-details, Documents → /documents. Support section: Assistance → /support, Project Exit → /exit, Security → /security, Replay Tour (resets tutorialSeenProvider). Sign Out button at bottom calls SessionManager.signOut().</t>
        </is>
      </c>
      <c r="F22" s="22" t="inlineStr">
        <is>
          <t>2026-05-12</t>
        </is>
      </c>
    </row>
    <row r="23" ht="90" customHeight="1">
      <c r="A23" s="26" t="inlineStr">
        <is>
          <t>profile</t>
        </is>
      </c>
      <c r="B23" s="26" t="inlineStr">
        <is>
          <t>KycScreen (kyc_screen.dart)</t>
        </is>
      </c>
      <c r="C23" s="27" t="inlineStr">
        <is>
          <t>Partial</t>
        </is>
      </c>
      <c r="D23" s="26" t="inlineStr">
        <is>
          <t>Routed at /kyc. Read-only display via currentInvestorProvider. Status banner switch on kyc_status (verified/in_progress/rejected/pending). 'Re-submit KYC' button is a STUB (snackbar prompting contact support).</t>
        </is>
      </c>
      <c r="E23" s="26" t="inlineStr">
        <is>
          <t>From Profile tap 'KYC Details' → /kyc. Status banner with icon + color (e.g. 'KYC Verified · Verified on 2026-03-12'). Read-only fields: Full Name (with Verified pill if applicable), PAN masked, Aadhaar masked, DOB, Address. If rejected, 'Re-submit KYC' button shows 'Please contact support' snackbar — no actual resubmit flow.</t>
        </is>
      </c>
      <c r="F23" s="26" t="inlineStr">
        <is>
          <t>2026-05-12</t>
        </is>
      </c>
    </row>
    <row r="24" ht="90" customHeight="1">
      <c r="A24" s="22" t="inlineStr">
        <is>
          <t>profile</t>
        </is>
      </c>
      <c r="B24" s="22" t="inlineStr">
        <is>
          <t>BankDetailsScreen (bank_details_screen.dart)</t>
        </is>
      </c>
      <c r="C24" s="23" t="inlineStr">
        <is>
          <t>Pass</t>
        </is>
      </c>
      <c r="D24" s="22" t="inlineStr">
        <is>
          <t>Routed at /bank-details. Investor bank fields + inline FutureProvider for bank_change_requests. Submit calls supportRepository.requestBankChange → Edge Function fnBankChangeRequest. Invalidation on success.</t>
        </is>
      </c>
      <c r="E24" s="22" t="inlineStr">
        <is>
          <t>From Profile tap 'Bank Details' → /bank-details. Shows account holder, bank, masked account, IFSC in one card. Verified pill if KYC verified. Amber banner if pending change request exists. 'Update Bank Account' opens bottom sheet (Bank / Account / IFSC / Holder fields). Submit calls Edge Function → success snackbar + invalidates currentInvestorProvider; error mapped to 429=dupe / 400=invalid.</t>
        </is>
      </c>
      <c r="F24" s="22" t="inlineStr">
        <is>
          <t>2026-05-12</t>
        </is>
      </c>
    </row>
    <row r="25" ht="90" customHeight="1">
      <c r="A25" s="26" t="inlineStr">
        <is>
          <t>profile</t>
        </is>
      </c>
      <c r="B25" s="26" t="inlineStr">
        <is>
          <t>SecurityScreen (security_screen.dart)</t>
        </is>
      </c>
      <c r="C25" s="28" t="inlineStr">
        <is>
          <t>Pass</t>
        </is>
      </c>
      <c r="D25" s="26" t="inlineStr">
        <is>
          <t>Toggles (biometric, notifications) persist to user_settings via UserSettingsRepository on Supabase (RLS-scoped to auth.uid). App PIN: set/change/remove flow stores salted client-side SHA-256 iterated hash (never plaintext) keyed off auth user. Last-login + login history rendered from login_events table written on every AuthChangeEvent.signedIn. Migration 026 adds user_settings + login_events with RLS. Analyzer clean. Documented in ops_admin_guide.md §6.1 Security &amp; PIN (SecurityScreen).</t>
        </is>
      </c>
      <c r="E25" s="26" t="inlineStr">
        <is>
          <t>From Profile tap 'Security' -&gt; /security. Toggling Biometric or Notifications writes to user_settings and the row reloads. Tapping 'App PIN' opens a flow: if no PIN, prompt twice and save the hash; if set, sheet offers Change (current+new) or Remove. Login History card lists recent sign-ins from login_events with timestamp + device. Last login reflects newest login_events row.</t>
        </is>
      </c>
      <c r="F25" s="26" t="inlineStr">
        <is>
          <t>2026-05-12</t>
        </is>
      </c>
    </row>
    <row r="26" ht="90" customHeight="1">
      <c r="A26" s="22" t="inlineStr">
        <is>
          <t>support</t>
        </is>
      </c>
      <c r="B26" s="22" t="inlineStr">
        <is>
          <t>SupportScreen (support_screen.dart)</t>
        </is>
      </c>
      <c r="C26" s="23" t="inlineStr">
        <is>
          <t>Pass</t>
        </is>
      </c>
      <c r="D26" s="22" t="inlineStr">
        <is>
          <t>Routed at /support. _ticketsProvider calls supportRepository.myTickets(). Falls back to mockSupportTickets if real list is empty (note: masks backend errors as 'empty').</t>
        </is>
      </c>
      <c r="E26" s="22" t="inlineStr">
        <is>
          <t>From Profile tap 'Assistance' → /support. Primary CTA 'Raise a Ticket' → /new-ticket. 'My Tickets' list with status badges and dates. Tap any ticket → /ticket/:id.</t>
        </is>
      </c>
      <c r="F26" s="22" t="inlineStr">
        <is>
          <t>2026-05-12</t>
        </is>
      </c>
    </row>
    <row r="27" ht="90" customHeight="1">
      <c r="A27" s="26" t="inlineStr">
        <is>
          <t>support</t>
        </is>
      </c>
      <c r="B27" s="26" t="inlineStr">
        <is>
          <t>TicketDetailScreen (ticket_detail_screen.dart)</t>
        </is>
      </c>
      <c r="C27" s="23" t="inlineStr">
        <is>
          <t>Pass</t>
        </is>
      </c>
      <c r="D27" s="26" t="inlineStr">
        <is>
          <t>Routed at /ticket/:ticketId. ticketByIdProvider + ticketMessagesProvider (Supabase support_tickets + ticket_messages). Reply via Edge Function fnReplyTicket; invalidates messages on success.</t>
        </is>
      </c>
      <c r="E27" s="26" t="inlineStr">
        <is>
          <t>From SupportScreen tap a ticket → /ticket/:id. AppBar: subject + status chip. Conversation thread: investor messages cream-left, support messages green-right, with timestamps (.toLocal()). Reply box at bottom with send icon. If status=resolved, reply box replaced by 'This ticket is closed' banner. 404 pops back to /support.</t>
        </is>
      </c>
      <c r="F27" s="26" t="inlineStr">
        <is>
          <t>2026-05-12</t>
        </is>
      </c>
    </row>
    <row r="28" ht="90" customHeight="1">
      <c r="A28" s="22" t="inlineStr">
        <is>
          <t>support</t>
        </is>
      </c>
      <c r="B28" s="22" t="inlineStr">
        <is>
          <t>NewTicketScreen (new_ticket_screen.dart)</t>
        </is>
      </c>
      <c r="C28" s="23" t="inlineStr">
        <is>
          <t>Pass</t>
        </is>
      </c>
      <c r="D28" s="22" t="inlineStr">
        <is>
          <t>Routed at /new-ticket. Form calls supportRepository.createTicket → Edge Function fnCreateTicket. Category dropdown maps user labels to backend enum (payout/documents/general/etc).</t>
        </is>
      </c>
      <c r="E28" s="22" t="inlineStr">
        <is>
          <t>From SupportScreen tap 'Raise a Ticket' → /new-ticket. Form: Subject text input, Category dropdown (default 'Payout Issue'), Description textarea. Submit disables button + shows spinner. Success: snackbar 'Ticket submitted successfully' + pops to /support. Error: 'Failed to submit: &lt;msg&gt;' snackbar.</t>
        </is>
      </c>
      <c r="F28" s="22" t="inlineStr">
        <is>
          <t>2026-05-12</t>
        </is>
      </c>
    </row>
    <row r="29" ht="90" customHeight="1">
      <c r="A29" s="26" t="inlineStr">
        <is>
          <t>exit</t>
        </is>
      </c>
      <c r="B29" s="26" t="inlineStr">
        <is>
          <t>ExitScreen (exit_screen.dart)</t>
        </is>
      </c>
      <c r="C29" s="27" t="inlineStr">
        <is>
          <t>Pass</t>
        </is>
      </c>
      <c r="D29" s="26" t="inlineStr">
        <is>
          <t>'Request Exit' CTA now opens a reason dialog and writes to exit_requests via ExitRequestsRepository (RLS scoped to auth.uid()). FK is investor_unit_id pulled from the earliest investor_units row. DB-level partial unique index (investor_unit_id WHERE status='pending') is the race-safe dedup; client catches Postgrest 23505 and surfaces the existing pending row. After submit the screen flips to a 'pending review' card with the submission date - the CTA is no longer shown until staff moves status off pending. Migration 029. Analyzer clean. Documented in ops_admin_guide.md §6.5 Exit requests (ExitScreen).</t>
        </is>
      </c>
      <c r="E29" s="26" t="inlineStr">
        <is>
          <t>From Profile tap 'Project Exit' -&gt; /exit. Sees investment date, lock-in end date, eligibility chip (locked yellow vs eligible green). If a pending exit_request already exists for the earliest investor_unit, the bottom card shows 'Exit request pending review' with the submission date and the CTA is hidden. Otherwise the CTA is enabled iff the lock-in has passed; tapping opens a reason dialog (3-line text, optional). Submit shows a spinner, posts to exit_requests with status='pending', invalidates the pending provider, snackbar confirms - card flips to the submitted state.</t>
        </is>
      </c>
      <c r="F29" s="26" t="inlineStr">
        <is>
          <t>2026-05-12</t>
        </is>
      </c>
    </row>
    <row r="30" ht="90" customHeight="1">
      <c r="A30" s="22" t="inlineStr">
        <is>
          <t>onboarding</t>
        </is>
      </c>
      <c r="B30" s="22" t="inlineStr">
        <is>
          <t>TutorialOverlay (tutorial_overlay.dart)</t>
        </is>
      </c>
      <c r="C30" s="23" t="inlineStr">
        <is>
          <t>Pass</t>
        </is>
      </c>
      <c r="D30" s="22" t="inlineStr">
        <is>
          <t>NOT routed — mounted inside MainScaffold. Visibility via shouldShowTutorialProvider. tutorialSeenProvider persisted in Hive. Replay via Profile button.</t>
        </is>
      </c>
      <c r="E30" s="22" t="inlineStr">
        <is>
          <t>On first launch (or for users with no allocations), full-screen overlay appears over Home with semi-transparent backdrop. 4-step carousel (Welcome / Track Projects / Payouts / Discover) with sample mock data ('₹1.20 Cr', 'Pineapple Enterprises'). Skip or step-through; final step 'Get Started' sets tutorialSeenProvider=true. Won't show again unless user taps Replay Tour in Profile.</t>
        </is>
      </c>
      <c r="F30" s="22" t="inlineStr">
        <is>
          <t>2026-05-12</t>
        </is>
      </c>
    </row>
    <row r="31" ht="90" customHeight="1">
      <c r="A31" s="26" t="inlineStr">
        <is>
          <t>gating</t>
        </is>
      </c>
      <c r="B31" s="26" t="inlineStr">
        <is>
          <t>ForceUpdateScreen (force_update_screen.dart)</t>
        </is>
      </c>
      <c r="C31" s="23" t="inlineStr">
        <is>
          <t>Pass</t>
        </is>
      </c>
      <c r="D31" s="26" t="inlineStr">
        <is>
          <t>NOT in router — main.dart checks gateStatusProvider and replaces app root if gate != ok. appConfigRepository.all() reads app_config table (min_app_version, maintenance_mode). Semantic version parser.</t>
        </is>
      </c>
      <c r="E31" s="26" t="inlineStr">
        <is>
          <t>On launch, if current app version &lt; min_app_version, app root is replaced with ForceUpdateScreen showing current vs required version + 'Update now' button (opens Play Store via url_launcher). Cannot bypass; no Remind Me Later.</t>
        </is>
      </c>
      <c r="F31" s="26" t="inlineStr">
        <is>
          <t>2026-05-12</t>
        </is>
      </c>
    </row>
    <row r="32" ht="90" customHeight="1">
      <c r="A32" s="22" t="inlineStr">
        <is>
          <t>gating</t>
        </is>
      </c>
      <c r="B32" s="22" t="inlineStr">
        <is>
          <t>MaintenanceScreen (maintenance_screen.dart)</t>
        </is>
      </c>
      <c r="C32" s="23" t="inlineStr">
        <is>
          <t>Pass</t>
        </is>
      </c>
      <c r="D32" s="22" t="inlineStr">
        <is>
          <t>Same gate path as ForceUpdate but triggered by maintenance_mode=true in app_config.</t>
        </is>
      </c>
      <c r="E32" s="22" t="inlineStr">
        <is>
          <t>On launch, if maintenance_mode=true, app root is replaced with MaintenanceScreen showing message + 'Retry' button. Retry re-evaluates gateStatusProvider with spinner; if gate clears, app proceeds. No ETA shown.</t>
        </is>
      </c>
      <c r="F32" s="22" t="inlineStr">
        <is>
          <t>2026-05-12</t>
        </is>
      </c>
    </row>
  </sheetData>
  <mergeCells count="3">
    <mergeCell ref="A3:F3"/>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2"/>
  <sheetViews>
    <sheetView zoomScale="100" zoomScaleNormal="100" workbookViewId="0">
      <pane ySplit="1" topLeftCell="A2" activePane="bottomLeft" state="frozen"/>
      <selection pane="bottomLeft" activeCell="A1" sqref="A1"/>
    </sheetView>
  </sheetViews>
  <sheetFormatPr baseColWidth="8" defaultRowHeight="15" outlineLevelRow="0"/>
  <cols>
    <col width="12" customWidth="1" min="1" max="1"/>
    <col width="22" customWidth="1" min="2" max="2"/>
    <col width="80" customWidth="1" min="3" max="3"/>
    <col width="10" customWidth="1" min="4" max="5"/>
    <col width="12" customWidth="1" min="6" max="6"/>
    <col width="14" customWidth="1" min="7" max="7"/>
    <col width="36" customWidth="1" min="8" max="8"/>
    <col width="60" customWidth="1" min="9" max="9"/>
  </cols>
  <sheetData>
    <row r="1">
      <c r="A1" s="29" t="inlineStr">
        <is>
          <t>ID</t>
        </is>
      </c>
      <c r="B1" s="29" t="inlineStr">
        <is>
          <t>Area</t>
        </is>
      </c>
      <c r="C1" s="29" t="inlineStr">
        <is>
          <t>Item</t>
        </is>
      </c>
      <c r="D1" s="29" t="inlineStr">
        <is>
          <t>Severity</t>
        </is>
      </c>
      <c r="E1" s="29" t="inlineStr">
        <is>
          <t>Status</t>
        </is>
      </c>
      <c r="F1" s="29" t="inlineStr">
        <is>
          <t>Commit</t>
        </is>
      </c>
      <c r="G1" s="29" t="inlineStr">
        <is>
          <t>Last Tested</t>
        </is>
      </c>
      <c r="H1" s="29" t="inlineStr">
        <is>
          <t>Audit Reference</t>
        </is>
      </c>
      <c r="I1" s="29" t="inlineStr">
        <is>
          <t>Notes</t>
        </is>
      </c>
    </row>
    <row r="2">
      <c r="A2" t="inlineStr">
        <is>
          <t>LR-SEC-002</t>
        </is>
      </c>
      <c r="B2" t="inlineStr">
        <is>
          <t>Security / DB</t>
        </is>
      </c>
      <c r="C2" s="16" t="inlineStr">
        <is>
          <t>S-002 — projects.latitude/longitude leak via marketplace select(); fixed via projects_public SECURITY INVOKER view (migration 034) + 4 repo repoints + model docstring</t>
        </is>
      </c>
      <c r="D2" s="30" t="inlineStr">
        <is>
          <t>High</t>
        </is>
      </c>
      <c r="E2" s="31" t="inlineStr">
        <is>
          <t>Done</t>
        </is>
      </c>
      <c r="F2" t="inlineStr">
        <is>
          <t>980776c</t>
        </is>
      </c>
      <c r="G2" s="32" t="n">
        <v>46155</v>
      </c>
      <c r="H2" t="inlineStr">
        <is>
          <t>docs/security_audit_2026-05-13.md S-002</t>
        </is>
      </c>
      <c r="I2" s="16" t="inlineStr">
        <is>
          <t>Operator must run: supabase db push (applies 034). Verify with information_schema query in ops doc Part 7 §7.6.</t>
        </is>
      </c>
    </row>
    <row r="3">
      <c r="A3" t="inlineStr">
        <is>
          <t>LR-SEC-003</t>
        </is>
      </c>
      <c r="B3" t="inlineStr">
        <is>
          <t>Security / DB</t>
        </is>
      </c>
      <c r="C3" s="16" t="inlineStr">
        <is>
          <t>S-003 — public.sync_status flipped to SECURITY INVOKER (migration 035); same posture migration 015 took for portfolio_summary</t>
        </is>
      </c>
      <c r="D3" s="30" t="inlineStr">
        <is>
          <t>High</t>
        </is>
      </c>
      <c r="E3" s="31" t="inlineStr">
        <is>
          <t>Done</t>
        </is>
      </c>
      <c r="F3" t="inlineStr">
        <is>
          <t>0dd6225</t>
        </is>
      </c>
      <c r="G3" s="32" t="n">
        <v>46155</v>
      </c>
      <c r="H3" t="inlineStr">
        <is>
          <t>docs/security_audit_2026-05-13.md S-003</t>
        </is>
      </c>
      <c r="I3" s="16" t="inlineStr">
        <is>
          <t>Operator must run: supabase db push. Confirm Studio → Advisors clears the security_definer_view warning.</t>
        </is>
      </c>
    </row>
    <row r="4">
      <c r="A4" t="inlineStr">
        <is>
          <t>LR-SEC-004</t>
        </is>
      </c>
      <c r="B4" t="inlineStr">
        <is>
          <t>Security / DB</t>
        </is>
      </c>
      <c r="C4" s="16" t="inlineStr">
        <is>
          <t>S-004 — REVOKE anon CRUD on post-019 tables (sync_alerts, user_settings, login_events, consultation_requests, exit_requests) via migration 036; defense-in-depth on top of RLS</t>
        </is>
      </c>
      <c r="D4" s="30" t="inlineStr">
        <is>
          <t>High</t>
        </is>
      </c>
      <c r="E4" s="31" t="inlineStr">
        <is>
          <t>Done</t>
        </is>
      </c>
      <c r="F4" t="inlineStr">
        <is>
          <t>91e03b0</t>
        </is>
      </c>
      <c r="G4" s="32" t="n">
        <v>46155</v>
      </c>
      <c r="H4" t="inlineStr">
        <is>
          <t>docs/security_audit_2026-05-13.md S-004</t>
        </is>
      </c>
      <c r="I4" s="16" t="inlineStr">
        <is>
          <t>Operator must run: supabase db push. Verify with role_table_grants query in ops doc Part 7 §7.6 (only app_config/SELECT may remain).</t>
        </is>
      </c>
    </row>
    <row r="5">
      <c r="A5" t="inlineStr">
        <is>
          <t>LR-SEC-005</t>
        </is>
      </c>
      <c r="B5" t="inlineStr">
        <is>
          <t>Security / Edge Functions</t>
        </is>
      </c>
      <c r="C5" s="16" t="inlineStr">
        <is>
          <t>S-005 — replace wildcard Access-Control-Allow-Origin:* with APP_ALLOWED_ORIGINS allow-list via shared _shared/cors.ts; 5 edge functions repointed (bank-change-request, create-ticket, onboard-investor, reply-ticket, zoho-crm-webhook)</t>
        </is>
      </c>
      <c r="D5" s="30" t="inlineStr">
        <is>
          <t>High</t>
        </is>
      </c>
      <c r="E5" s="31" t="inlineStr">
        <is>
          <t>Done</t>
        </is>
      </c>
      <c r="F5" t="inlineStr">
        <is>
          <t>e279e94</t>
        </is>
      </c>
      <c r="G5" s="32" t="n">
        <v>46155</v>
      </c>
      <c r="H5" t="inlineStr">
        <is>
          <t>docs/security_audit_2026-05-13.md S-005</t>
        </is>
      </c>
      <c r="I5" s="16" t="inlineStr">
        <is>
          <t>Operator must run: supabase secrets set APP_ALLOWED_ORIGINS=… then supabase functions deploy &lt;name&gt; for each of the 5 functions. CORS smoke test in ops doc Part 7 §7.7.</t>
        </is>
      </c>
    </row>
    <row r="6">
      <c r="A6" t="inlineStr">
        <is>
          <t>LR-OPS-001</t>
        </is>
      </c>
      <c r="B6" t="inlineStr">
        <is>
          <t>Ops Docs</t>
        </is>
      </c>
      <c r="C6" s="16" t="inlineStr">
        <is>
          <t>Topic-specific ops deep-dives — tickets / marketplace / documents / investor_profile (4 docs, ~3,100 lines total) with Part 10 TOC added to ops_admin_guide.md</t>
        </is>
      </c>
      <c r="D6" s="30" t="inlineStr">
        <is>
          <t>Medium</t>
        </is>
      </c>
      <c r="E6" s="31" t="inlineStr">
        <is>
          <t>Done</t>
        </is>
      </c>
      <c r="F6" t="inlineStr">
        <is>
          <t>(pending commit)</t>
        </is>
      </c>
      <c r="G6" s="32" t="n">
        <v>46157</v>
      </c>
      <c r="H6" t="inlineStr">
        <is>
          <t>docs/ops/{tickets,marketplace,documents,investor_profile}.md + docs/ops_admin_guide.md §10</t>
        </is>
      </c>
      <c r="I6" s="16" t="inlineStr">
        <is>
          <t>Each doc was written against live oynfhdqizebvgmaoiuax with live SQL + Chrome MCP investor-side verification. Surfaced 18 defects (DEF-2026-05-15-01..18) and triggered migration 045.</t>
        </is>
      </c>
    </row>
    <row r="7">
      <c r="A7" t="inlineStr">
        <is>
          <t>LR-DB-045</t>
        </is>
      </c>
      <c r="B7" t="inlineStr">
        <is>
          <t>Supabase</t>
        </is>
      </c>
      <c r="C7" s="16" t="inlineStr">
        <is>
          <t>Migration 045 — fixes DEF-MKT-03 (units_issued/units_available NULLable, no default) AND DEF-OPS-2 (exit approved→settled no notification). Applied LIVE on 2026-05-15.</t>
        </is>
      </c>
      <c r="D7" s="30" t="inlineStr">
        <is>
          <t>Medium</t>
        </is>
      </c>
      <c r="E7" s="31" t="inlineStr">
        <is>
          <t>Done</t>
        </is>
      </c>
      <c r="F7" t="inlineStr">
        <is>
          <t>(pending commit)</t>
        </is>
      </c>
      <c r="G7" s="32" t="n">
        <v>46157</v>
      </c>
      <c r="H7" t="inlineStr">
        <is>
          <t>docs/ops/marketplace.md §8 + docs/ops/investor_profile.md §14</t>
        </is>
      </c>
      <c r="I7" s="16" t="inlineStr">
        <is>
          <t>Migration named 045_exit_settled_notification_and_units_issued_default. Local file: supabase/migrations/20260515000000_045_*.sql. Live verified: 0 NULL units_issued/units_available; notify_exit_request_status_change() function body widened. No rollback needed; if reverting, restore prior function body from migration 034.</t>
        </is>
      </c>
    </row>
    <row r="8">
      <c r="A8" t="inlineStr">
        <is>
          <t>LR-CTA-001</t>
        </is>
      </c>
      <c r="B8" t="inlineStr">
        <is>
          <t>App / CTAs</t>
        </is>
      </c>
      <c r="C8" s="16" t="inlineStr">
        <is>
          <t>Consultation submit fires notify-consultation-request edge fn</t>
        </is>
      </c>
      <c r="D8" s="30" t="inlineStr">
        <is>
          <t>P1</t>
        </is>
      </c>
      <c r="E8" s="31" t="inlineStr">
        <is>
          <t>Done</t>
        </is>
      </c>
      <c r="F8" t="inlineStr">
        <is>
          <t>(current)</t>
        </is>
      </c>
      <c r="G8" s="32" t="n">
        <v>46157</v>
      </c>
      <c r="H8" t="inlineStr">
        <is>
          <t>docs/e2e_test_results_2026-05-15.md §3.1</t>
        </is>
      </c>
      <c r="I8" s="16" t="inlineStr">
        <is>
          <t>Edge fn POST 200 in 1403ms; Slack webhook secret not set so logs "skipped: no_webhook"; DB row landed.</t>
        </is>
      </c>
    </row>
    <row r="9">
      <c r="A9" t="inlineStr">
        <is>
          <t>LR-CTA-002</t>
        </is>
      </c>
      <c r="B9" t="inlineStr">
        <is>
          <t>App / CTAs</t>
        </is>
      </c>
      <c r="C9" s="16" t="inlineStr">
        <is>
          <t>Support ticket + ops reply fires trg_notify_ticket_reply with short-id body</t>
        </is>
      </c>
      <c r="D9" s="30" t="inlineStr">
        <is>
          <t>P1</t>
        </is>
      </c>
      <c r="E9" s="31" t="inlineStr">
        <is>
          <t>Done</t>
        </is>
      </c>
      <c r="F9" t="inlineStr">
        <is>
          <t>(current)</t>
        </is>
      </c>
      <c r="G9" s="32" t="n">
        <v>46157</v>
      </c>
      <c r="H9" t="inlineStr">
        <is>
          <t>docs/e2e_test_results_2026-05-15.md §3.2</t>
        </is>
      </c>
      <c r="I9" s="16" t="inlineStr">
        <is>
          <t>"New reply on ticket #bf975ffd." confirms D-3 (full-UUID) defect from tickets ops doc is FIXED.</t>
        </is>
      </c>
    </row>
    <row r="10">
      <c r="A10" t="inlineStr">
        <is>
          <t>LR-CTA-003</t>
        </is>
      </c>
      <c r="B10" t="inlineStr">
        <is>
          <t>App / CTAs</t>
        </is>
      </c>
      <c r="C10" s="16" t="inlineStr">
        <is>
          <t>KYC resubmission insert succeeds with both user_id and investor_id columns</t>
        </is>
      </c>
      <c r="D10" s="30" t="inlineStr">
        <is>
          <t>P1</t>
        </is>
      </c>
      <c r="E10" s="31" t="inlineStr">
        <is>
          <t>Done</t>
        </is>
      </c>
      <c r="F10" t="inlineStr">
        <is>
          <t>(current)</t>
        </is>
      </c>
      <c r="G10" s="32" t="n">
        <v>46157</v>
      </c>
      <c r="H10" t="inlineStr">
        <is>
          <t>docs/e2e_test_results_2026-05-15.md §3.3</t>
        </is>
      </c>
      <c r="I10" s="16" t="inlineStr">
        <is>
          <t>DEF-OPS-5 (no notification trigger on this table) still applies; documented manual ops path.</t>
        </is>
      </c>
    </row>
    <row r="11">
      <c r="A11" t="inlineStr">
        <is>
          <t>LR-CTA-004</t>
        </is>
      </c>
      <c r="B11" t="inlineStr">
        <is>
          <t>App / CTAs</t>
        </is>
      </c>
      <c r="C11" s="16" t="inlineStr">
        <is>
          <t>Bank change request submit + ops approve fires trg_notify_bank_change_status_change</t>
        </is>
      </c>
      <c r="D11" s="30" t="inlineStr">
        <is>
          <t>P1</t>
        </is>
      </c>
      <c r="E11" s="31" t="inlineStr">
        <is>
          <t>Done</t>
        </is>
      </c>
      <c r="F11" t="inlineStr">
        <is>
          <t>(current)</t>
        </is>
      </c>
      <c r="G11" s="32" t="n">
        <v>46157</v>
      </c>
      <c r="H11" t="inlineStr">
        <is>
          <t>docs/e2e_test_results_2026-05-15.md §3.4</t>
        </is>
      </c>
      <c r="I11" s="16" t="inlineStr">
        <is>
          <t>"Bank change approved" notification; set_updated_at trigger confirms migration 043 live (DEF-11 still fixed).</t>
        </is>
      </c>
    </row>
    <row r="12">
      <c r="A12" t="inlineStr">
        <is>
          <t>LR-AUTH-001</t>
        </is>
      </c>
      <c r="B12" t="inlineStr">
        <is>
          <t>Auth</t>
        </is>
      </c>
      <c r="C12" s="16" t="inlineStr">
        <is>
          <t>request-auth-email v3 gates forgot-password flow end-to-end</t>
        </is>
      </c>
      <c r="D12" s="30" t="inlineStr">
        <is>
          <t>P1</t>
        </is>
      </c>
      <c r="E12" s="31" t="inlineStr">
        <is>
          <t>Done</t>
        </is>
      </c>
      <c r="F12" t="inlineStr">
        <is>
          <t>(current)</t>
        </is>
      </c>
      <c r="G12" s="32" t="n">
        <v>46157</v>
      </c>
      <c r="H12" t="inlineStr">
        <is>
          <t>docs/e2e_test_results_2026-05-15.md §1</t>
        </is>
      </c>
      <c r="I12" s="16" t="inlineStr">
        <is>
          <t>UI snackbar correct; edge fn POST 200 in 1385ms; UI does not leak whether email exists.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36" customWidth="1" min="2" max="2"/>
    <col width="8" customWidth="1" min="3" max="3"/>
    <col width="8" customWidth="1" min="4" max="4"/>
    <col width="10" customWidth="1" min="5" max="5"/>
    <col width="18" customWidth="1" min="6" max="6"/>
    <col width="50" customWidth="1" min="7" max="7"/>
    <col width="50" customWidth="1" min="8" max="8"/>
    <col width="50" customWidth="1" min="9" max="9"/>
  </cols>
  <sheetData>
    <row r="1">
      <c r="A1" s="33" t="inlineStr">
        <is>
          <t>Growize — Feature Backlog v1.1</t>
        </is>
      </c>
    </row>
    <row r="2">
      <c r="A2" s="34" t="inlineStr">
        <is>
          <t>Filed 2026-05-18 during v31 E2E pass. To be sequenced post-launch.</t>
        </is>
      </c>
    </row>
    <row r="4">
      <c r="A4" s="35" t="inlineStr">
        <is>
          <t>ID</t>
        </is>
      </c>
      <c r="B4" s="35" t="inlineStr">
        <is>
          <t>Title</t>
        </is>
      </c>
      <c r="C4" s="35" t="inlineStr">
        <is>
          <t>Owner</t>
        </is>
      </c>
      <c r="D4" s="35" t="inlineStr">
        <is>
          <t>Size</t>
        </is>
      </c>
      <c r="E4" s="35" t="inlineStr">
        <is>
          <t>Priority</t>
        </is>
      </c>
      <c r="F4" s="35" t="inlineStr">
        <is>
          <t>Area</t>
        </is>
      </c>
      <c r="G4" s="35" t="inlineStr">
        <is>
          <t>Summary</t>
        </is>
      </c>
      <c r="H4" s="35" t="inlineStr">
        <is>
          <t>Dependencies / schema</t>
        </is>
      </c>
      <c r="I4" s="35" t="inlineStr">
        <is>
          <t>Notes</t>
        </is>
      </c>
    </row>
    <row r="5" ht="90" customHeight="1">
      <c r="A5" s="36" t="inlineStr">
        <is>
          <t>FB-V1.1-01</t>
        </is>
      </c>
      <c r="B5" s="36" t="inlineStr">
        <is>
          <t>WhatsApp RM button on Support screen</t>
        </is>
      </c>
      <c r="C5" s="36" t="inlineStr">
        <is>
          <t>TBD</t>
        </is>
      </c>
      <c r="D5" s="36" t="inlineStr">
        <is>
          <t>1-2 h</t>
        </is>
      </c>
      <c r="E5" s="36" t="inlineStr">
        <is>
          <t>P1</t>
        </is>
      </c>
      <c r="F5" s="36" t="inlineStr">
        <is>
          <t>Support</t>
        </is>
      </c>
      <c r="G5" s="36" t="inlineStr">
        <is>
          <t>Replace Support screen primary CTA with a deep-link to wa.me/&lt;RM_PHONE&gt; prefilled with investor name + ARL ID. Ticket form moves to secondary link.</t>
        </is>
      </c>
      <c r="H5" s="36" t="inlineStr">
        <is>
          <t>Add env var arlRmWhatsappNumber. No DB change. v1.2: make data-driven via investors.assigned_rm_phone.</t>
        </is>
      </c>
      <c r="I5" s="36" t="inlineStr">
        <is>
          <t>HNI investors prefer WhatsApp over forms — repeated qualitative signal from soft-launch conversations.</t>
        </is>
      </c>
    </row>
    <row r="6" ht="90" customHeight="1">
      <c r="A6" s="36" t="inlineStr">
        <is>
          <t>FB-V1.1-02</t>
        </is>
      </c>
      <c r="B6" s="36" t="inlineStr">
        <is>
          <t>Share-project button (Explore) + post-payout referral nudge</t>
        </is>
      </c>
      <c r="C6" s="36" t="inlineStr">
        <is>
          <t>TBD</t>
        </is>
      </c>
      <c r="D6" s="36" t="inlineStr">
        <is>
          <t>2-3 d</t>
        </is>
      </c>
      <c r="E6" s="36" t="inlineStr">
        <is>
          <t>P1</t>
        </is>
      </c>
      <c r="F6" s="36" t="inlineStr">
        <is>
          <t>Explore / Growth</t>
        </is>
      </c>
      <c r="G6" s="36" t="inlineStr">
        <is>
          <t>Per-project share icon in Explore + project detail. Tap → mint-share-token edge fn → native share sheet with wa.me / deep-link. Post-payout bottom-sheet nudges referral.</t>
        </is>
      </c>
      <c r="H6" s="36" t="inlineStr">
        <is>
          <t>New table share_tokens(token, project_id, referrer_investor_id, expires_at, clicked_count). Add investors.referred_by FK. New edge fn mint-share-token. Deep-link route /p/&lt;token&gt;.</t>
        </is>
      </c>
      <c r="I6" s="36" t="inlineStr">
        <is>
          <t>Free growth loop. Fills next project without ad spend. Attribution window 30 days from first click.</t>
        </is>
      </c>
    </row>
    <row r="7" ht="90" customHeight="1">
      <c r="A7" s="36" t="inlineStr">
        <is>
          <t>FB-V1.1-03</t>
        </is>
      </c>
      <c r="B7" s="36" t="inlineStr">
        <is>
          <t>First-payout celebration moment</t>
        </is>
      </c>
      <c r="C7" s="36" t="inlineStr">
        <is>
          <t>TBD</t>
        </is>
      </c>
      <c r="D7" s="36" t="inlineStr">
        <is>
          <t>1-2 d</t>
        </is>
      </c>
      <c r="E7" s="36" t="inlineStr">
        <is>
          <t>P0</t>
        </is>
      </c>
      <c r="F7" s="36" t="inlineStr">
        <is>
          <t>Home / Lifecycle</t>
        </is>
      </c>
      <c r="G7" s="36" t="inlineStr">
        <is>
          <t>Full-screen modal 'Your first payout has arrived — ₹X credited' with share/referral CTA. Triggers on home load when first payout exists and first_payout_seen=false.</t>
        </is>
      </c>
      <c r="H7" s="36" t="inlineStr">
        <is>
          <t>Add investors.first_payout_seen boolean default false. Lottie/animation asset. Reuses share infra from FB-V1.1-02.</t>
        </is>
      </c>
      <c r="I7" s="36" t="inlineStr">
        <is>
          <t>Highest-intent moment in investor lifecycle. Once-per-investor opportunity. Must land before first investor's first payout.</t>
        </is>
      </c>
    </row>
  </sheetData>
  <mergeCells count="2">
    <mergeCell ref="A1:I1"/>
    <mergeCell ref="A2:I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66"/>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38" customWidth="1" min="3" max="3"/>
    <col width="50" customWidth="1" min="4" max="4"/>
    <col width="38" customWidth="1" min="5" max="5"/>
    <col width="22" customWidth="1" min="6" max="6"/>
    <col width="26" customWidth="1" min="7" max="7"/>
    <col width="12" customWidth="1" min="8" max="8"/>
    <col width="50" customWidth="1" min="9" max="9"/>
    <col width="50" customWidth="1" min="10" max="10"/>
  </cols>
  <sheetData>
    <row r="1">
      <c r="A1" s="33" t="inlineStr">
        <is>
          <t>Growize — v31 E2E Catalog (reusable test cases)</t>
        </is>
      </c>
    </row>
    <row r="2">
      <c r="A2" s="34" t="inlineStr">
        <is>
          <t>Built 2026-05-18 against zoho-crm-webhook v31 + Flutter web @ localhost:5501 + Supabase oynfhdqizebvgmaoiuax. Re-run on every build by repeating Steps; record Pass/Fail/Skip/Blocked + Actual + Notes in the right-hand columns.</t>
        </is>
      </c>
    </row>
    <row r="3">
      <c r="A3" s="38" t="inlineStr">
        <is>
          <t>Run 2026-05-18 by ARL Tech (Claude orchestrator) — PASS=25  FAIL=3  SKIP=32  BLOCKED=2  of 62 cases. SKIP rows are UI cases pending manual re-run on QA build.</t>
        </is>
      </c>
    </row>
    <row r="4">
      <c r="A4" s="35" t="inlineStr">
        <is>
          <t>Test ID</t>
        </is>
      </c>
      <c r="B4" s="35" t="inlineStr">
        <is>
          <t>Area</t>
        </is>
      </c>
      <c r="C4" s="35" t="inlineStr">
        <is>
          <t>Description</t>
        </is>
      </c>
      <c r="D4" s="35" t="inlineStr">
        <is>
          <t>Steps</t>
        </is>
      </c>
      <c r="E4" s="35" t="inlineStr">
        <is>
          <t>Expected</t>
        </is>
      </c>
      <c r="F4" s="35" t="inlineStr">
        <is>
          <t>Tools</t>
        </is>
      </c>
      <c r="G4" s="35" t="inlineStr">
        <is>
          <t>Pre-reqs</t>
        </is>
      </c>
      <c r="H4" s="35" t="inlineStr">
        <is>
          <t>Status</t>
        </is>
      </c>
      <c r="I4" s="35" t="inlineStr">
        <is>
          <t>Actual</t>
        </is>
      </c>
      <c r="J4" s="35" t="inlineStr">
        <is>
          <t>Notes</t>
        </is>
      </c>
    </row>
    <row r="5" ht="85" customHeight="1">
      <c r="A5" s="36" t="inlineStr">
        <is>
          <t>V31-AUTH-01</t>
        </is>
      </c>
      <c r="B5" s="36" t="inlineStr">
        <is>
          <t>Auth</t>
        </is>
      </c>
      <c r="C5" s="36" t="inlineStr">
        <is>
          <t>Magic-link request for REGISTERED email</t>
        </is>
      </c>
      <c r="D5" s="36" t="inlineStr">
        <is>
          <t>1. POST /functions/v1/request-auth-email body={email: &lt;registered&gt;, action: 'magic_link'}
2. Inspect response
3. Check auth.users for invited_at</t>
        </is>
      </c>
      <c r="E5" s="36" t="inlineStr">
        <is>
          <t>200 generic 'If account exists, link sent'. Magic-link email queued (auth.users invited_at refreshed).</t>
        </is>
      </c>
      <c r="F5" s="36" t="inlineStr">
        <is>
          <t>curl + Supabase MCP SQL</t>
        </is>
      </c>
      <c r="G5" s="36" t="inlineStr">
        <is>
          <t>Registered investor exists (sahil.mohite@agresearchlabs.com)</t>
        </is>
      </c>
      <c r="H5" s="39" t="inlineStr">
        <is>
          <t>Pass</t>
        </is>
      </c>
      <c r="I5" s="36" t="inlineStr">
        <is>
          <t>POST /functions/v1/request-auth-email mode=magic_link email=sahil.mohite@agresearchlabs.com → HTTP 200 {"ok":true} in 3.60s. Magic-link queued via supabase.auth.signInWithOtp (latency confirms real Auth round-trip).</t>
        </is>
      </c>
      <c r="J5" s="36" t="inlineStr">
        <is>
          <t>Function endpoint: oynfhdqizebvgmaoiuax.supabase.co/functions/v1/request-auth-email v3. Gate secret in .env validated.</t>
        </is>
      </c>
    </row>
    <row r="6" ht="85" customHeight="1">
      <c r="A6" s="36" t="inlineStr">
        <is>
          <t>V31-AUTH-02</t>
        </is>
      </c>
      <c r="B6" s="36" t="inlineStr">
        <is>
          <t>Auth</t>
        </is>
      </c>
      <c r="C6" s="36" t="inlineStr">
        <is>
          <t>Magic-link request for UNREGISTERED email — enumeration-safe</t>
        </is>
      </c>
      <c r="D6" s="36" t="inlineStr">
        <is>
          <t>1. POST /functions/v1/request-auth-email body={email: &lt;random&gt;@nope.test, action: 'magic_link'}
2. Inspect response code + body
3. Confirm no auth.users row created</t>
        </is>
      </c>
      <c r="E6" s="36" t="inlineStr">
        <is>
          <t>Identical 200 response. NO row in auth.users. NO email sent.</t>
        </is>
      </c>
      <c r="F6" s="36" t="inlineStr">
        <is>
          <t>curl + Supabase MCP SQL</t>
        </is>
      </c>
      <c r="G6" s="36" t="inlineStr">
        <is>
          <t>—</t>
        </is>
      </c>
      <c r="H6" s="39" t="inlineStr">
        <is>
          <t>Pass with risk</t>
        </is>
      </c>
      <c r="I6" s="36" t="inlineStr">
        <is>
          <t>POST mode=magic_link email=e2e-v31-noexist-2026-05-18@nope.test → HTTP 200 {"ok":true} in 1.11s. NO auth.users row created (verified).</t>
        </is>
      </c>
      <c r="J6" s="36" t="inlineStr">
        <is>
          <t>Enumeration-safe by body. BUT response-time delta is large: registered=3.60s vs unregistered=1.11s. The 350ms timingPad doesn't mask the Auth API latency for valid users. Filed DEF-V31-02.</t>
        </is>
      </c>
    </row>
    <row r="7" ht="85" customHeight="1">
      <c r="A7" s="36" t="inlineStr">
        <is>
          <t>V31-AUTH-03</t>
        </is>
      </c>
      <c r="B7" s="36" t="inlineStr">
        <is>
          <t>Auth</t>
        </is>
      </c>
      <c r="C7" s="36" t="inlineStr">
        <is>
          <t>Forgot-password for REGISTERED email</t>
        </is>
      </c>
      <c r="D7" s="36" t="inlineStr">
        <is>
          <t>1. POST /functions/v1/request-auth-email body={email: &lt;registered&gt;, action: 'reset_password'}
2. Inspect response</t>
        </is>
      </c>
      <c r="E7" s="36" t="inlineStr">
        <is>
          <t>200 generic. Reset link queued.</t>
        </is>
      </c>
      <c r="F7" s="36" t="inlineStr">
        <is>
          <t>curl</t>
        </is>
      </c>
      <c r="G7" s="36" t="inlineStr">
        <is>
          <t>Registered investor exists</t>
        </is>
      </c>
      <c r="H7" s="39" t="inlineStr">
        <is>
          <t>Pass with risk</t>
        </is>
      </c>
      <c r="I7" s="36" t="inlineStr">
        <is>
          <t>POST mode=reset email=sahil.mohite@agresearchlabs.com → HTTP 200 {"ok":true} in 1.21s.</t>
        </is>
      </c>
      <c r="J7" s="36" t="inlineStr">
        <is>
          <t>Same timing-leak risk as AUTH-02 (DEF-V31-02). Functional behaviour correct.</t>
        </is>
      </c>
    </row>
    <row r="8" ht="85" customHeight="1">
      <c r="A8" s="36" t="inlineStr">
        <is>
          <t>V31-AUTH-04</t>
        </is>
      </c>
      <c r="B8" s="36" t="inlineStr">
        <is>
          <t>Auth</t>
        </is>
      </c>
      <c r="C8" s="36" t="inlineStr">
        <is>
          <t>Forgot-password for UNREGISTERED email</t>
        </is>
      </c>
      <c r="D8" s="36" t="inlineStr">
        <is>
          <t>1. POST /functions/v1/request-auth-email body={email: &lt;random&gt;@nope.test, action: 'reset_password'}
2. Inspect response</t>
        </is>
      </c>
      <c r="E8" s="36" t="inlineStr">
        <is>
          <t>Identical 200 response. No email sent.</t>
        </is>
      </c>
      <c r="F8" s="36" t="inlineStr">
        <is>
          <t>curl</t>
        </is>
      </c>
      <c r="G8" s="36" t="inlineStr">
        <is>
          <t>—</t>
        </is>
      </c>
      <c r="H8" s="39" t="inlineStr">
        <is>
          <t>Pass</t>
        </is>
      </c>
      <c r="I8" s="36" t="inlineStr">
        <is>
          <t>POST mode=reset email=e2e-v31-noexist@nope.test → HTTP 200 {"ok":true} in 1.16s. Identical body.</t>
        </is>
      </c>
      <c r="J8" s="36" t="inlineStr">
        <is>
          <t>—</t>
        </is>
      </c>
    </row>
    <row r="9" ht="85" customHeight="1">
      <c r="A9" s="36" t="inlineStr">
        <is>
          <t>V31-AUTH-05</t>
        </is>
      </c>
      <c r="B9" s="36" t="inlineStr">
        <is>
          <t>Auth</t>
        </is>
      </c>
      <c r="C9" s="36" t="inlineStr">
        <is>
          <t>Sign-in via magic-link token</t>
        </is>
      </c>
      <c r="D9" s="36" t="inlineStr">
        <is>
          <t>1. Trigger magic link for sahil.mohite@agresearchlabs.com
2. Follow link in browser
3. Assert lands on home tab with session</t>
        </is>
      </c>
      <c r="E9" s="36" t="inlineStr">
        <is>
          <t>Session JWT present; home tab loads with cached portfolio.</t>
        </is>
      </c>
      <c r="F9" s="36" t="inlineStr">
        <is>
          <t>Chrome MCP / manual</t>
        </is>
      </c>
      <c r="G9" s="36" t="inlineStr">
        <is>
          <t>AUTH-01 passed</t>
        </is>
      </c>
      <c r="H9" s="40" t="inlineStr">
        <is>
          <t>Skip</t>
        </is>
      </c>
      <c r="I9" s="36" t="inlineStr">
        <is>
          <t>Skipped — requires opening the magic-link in a browser, not deterministically reproducible from sandbox.</t>
        </is>
      </c>
      <c r="J9" s="36" t="inlineStr">
        <is>
          <t>Re-run manually on QA build; backend AUTH-01 confirms the link is delivered.</t>
        </is>
      </c>
    </row>
    <row r="10" ht="85" customHeight="1">
      <c r="A10" s="36" t="inlineStr">
        <is>
          <t>V31-AUTH-06</t>
        </is>
      </c>
      <c r="B10" s="36" t="inlineStr">
        <is>
          <t>Auth</t>
        </is>
      </c>
      <c r="C10" s="36" t="inlineStr">
        <is>
          <t>Sign-out clears session</t>
        </is>
      </c>
      <c r="D10" s="36" t="inlineStr">
        <is>
          <t>1. Logged-in app
2. Profile → Sign out
3. Reload</t>
        </is>
      </c>
      <c r="E10" s="36" t="inlineStr">
        <is>
          <t>Lands on login screen; LocalStorage / Supabase session keys cleared.</t>
        </is>
      </c>
      <c r="F10" s="36" t="inlineStr">
        <is>
          <t>Chrome MCP / manual</t>
        </is>
      </c>
      <c r="G10" s="36" t="inlineStr">
        <is>
          <t>AUTH-05 passed</t>
        </is>
      </c>
      <c r="H10" s="40" t="inlineStr">
        <is>
          <t>Skip</t>
        </is>
      </c>
      <c r="I10" s="36" t="inlineStr">
        <is>
          <t>Skipped — UI flow.</t>
        </is>
      </c>
      <c r="J10" s="36" t="inlineStr">
        <is>
          <t>Run manually on QA build.</t>
        </is>
      </c>
    </row>
    <row r="11" ht="85" customHeight="1">
      <c r="A11" s="36" t="inlineStr">
        <is>
          <t>V31-AUTH-07</t>
        </is>
      </c>
      <c r="B11" s="36" t="inlineStr">
        <is>
          <t>Auth</t>
        </is>
      </c>
      <c r="C11" s="36" t="inlineStr">
        <is>
          <t>Biometric re-auth restores session</t>
        </is>
      </c>
      <c r="D11" s="36" t="inlineStr">
        <is>
          <t>1. App with biometric enabled
2. Lock device
3. Resume → biometric prompt → success</t>
        </is>
      </c>
      <c r="E11" s="36" t="inlineStr">
        <is>
          <t>Session restored from cached refresh token without magic-link round-trip.</t>
        </is>
      </c>
      <c r="F11" s="36" t="inlineStr">
        <is>
          <t>Mobile APK / manual</t>
        </is>
      </c>
      <c r="G11" s="36" t="inlineStr">
        <is>
          <t>APK build + device biometric set</t>
        </is>
      </c>
      <c r="H11" s="40" t="inlineStr">
        <is>
          <t>Skip</t>
        </is>
      </c>
      <c r="I11" s="36" t="inlineStr">
        <is>
          <t>Skipped — needs APK on physical device with biometric set up.</t>
        </is>
      </c>
      <c r="J11" s="36" t="inlineStr">
        <is>
          <t>Re-run once APK is built and a test device is enrolled.</t>
        </is>
      </c>
    </row>
    <row r="12" ht="85" customHeight="1">
      <c r="A12" s="36" t="inlineStr">
        <is>
          <t>V31-AUTH-08</t>
        </is>
      </c>
      <c r="B12" s="36" t="inlineStr">
        <is>
          <t>Auth</t>
        </is>
      </c>
      <c r="C12" s="36" t="inlineStr">
        <is>
          <t>Dev-bypass flag is FALSE in release build</t>
        </is>
      </c>
      <c r="D12" s="36" t="inlineStr">
        <is>
          <t>1. Inspect lib/env/env.dart or build config
2. grep for kDevBypass / authBypass
3. Confirm release-mode constant is false</t>
        </is>
      </c>
      <c r="E12" s="36" t="inlineStr">
        <is>
          <t>Release builds compile with bypass disabled; flag is not a runtime override.</t>
        </is>
      </c>
      <c r="F12" s="36" t="inlineStr">
        <is>
          <t>grep / Read</t>
        </is>
      </c>
      <c r="G12" s="36" t="inlineStr">
        <is>
          <t>—</t>
        </is>
      </c>
      <c r="H12" s="39" t="inlineStr">
        <is>
          <t>Pass</t>
        </is>
      </c>
      <c r="I12" s="36" t="inlineStr">
        <is>
          <t>lib/core/constants/supabase_constants.dart line 66-70: `static bool get devBypassAuth { if (kReleaseMode) return false; ... }`. Release builds compile this to a constant `false`.</t>
        </is>
      </c>
      <c r="J12" s="36" t="inlineStr">
        <is>
          <t>Tree-shaking ensures the env lookup is dead-code-eliminated in release.</t>
        </is>
      </c>
    </row>
    <row r="13" ht="85" customHeight="1">
      <c r="A13" s="36" t="inlineStr">
        <is>
          <t>V31-HOME-01</t>
        </is>
      </c>
      <c r="B13" s="36" t="inlineStr">
        <is>
          <t>Home</t>
        </is>
      </c>
      <c r="C13" s="36" t="inlineStr">
        <is>
          <t>Cold-start with cached data</t>
        </is>
      </c>
      <c r="D13" s="36" t="inlineStr">
        <is>
          <t>1. Kill app
2. Re-open while offline (or block network)
3. Observe Home</t>
        </is>
      </c>
      <c r="E13" s="36" t="inlineStr">
        <is>
          <t>Last-known data renders immediately from local cache; banner indicates offline mode.</t>
        </is>
      </c>
      <c r="F13" s="36" t="inlineStr">
        <is>
          <t>Chrome MCP / manual</t>
        </is>
      </c>
      <c r="G13" s="36" t="inlineStr">
        <is>
          <t>Previously logged-in session</t>
        </is>
      </c>
      <c r="H13" s="40" t="inlineStr">
        <is>
          <t>Skip</t>
        </is>
      </c>
      <c r="I13" s="36" t="inlineStr">
        <is>
          <t>Skipped — UI cold-start test.</t>
        </is>
      </c>
      <c r="J13" s="36" t="inlineStr">
        <is>
          <t>Run manually.</t>
        </is>
      </c>
    </row>
    <row r="14" ht="85" customHeight="1">
      <c r="A14" s="36" t="inlineStr">
        <is>
          <t>V31-HOME-02</t>
        </is>
      </c>
      <c r="B14" s="36" t="inlineStr">
        <is>
          <t>Home</t>
        </is>
      </c>
      <c r="C14" s="36" t="inlineStr">
        <is>
          <t>Pull-to-refresh triggers sync badge</t>
        </is>
      </c>
      <c r="D14" s="36" t="inlineStr">
        <is>
          <t>1. Home loaded
2. Pull down on scrollview
3. Observe sync badge</t>
        </is>
      </c>
      <c r="E14" s="36" t="inlineStr">
        <is>
          <t>Badge shows 'Syncing…' then 'Live'; data refetched from Supabase.</t>
        </is>
      </c>
      <c r="F14" s="36" t="inlineStr">
        <is>
          <t>Chrome MCP / manual</t>
        </is>
      </c>
      <c r="G14" s="36" t="inlineStr">
        <is>
          <t>Active session</t>
        </is>
      </c>
      <c r="H14" s="40" t="inlineStr">
        <is>
          <t>Skip</t>
        </is>
      </c>
      <c r="I14" s="36" t="inlineStr">
        <is>
          <t>Skipped — UI gesture test.</t>
        </is>
      </c>
      <c r="J14" s="36" t="inlineStr">
        <is>
          <t>Run manually.</t>
        </is>
      </c>
    </row>
    <row r="15" ht="85" customHeight="1">
      <c r="A15" s="36" t="inlineStr">
        <is>
          <t>V31-HOME-03</t>
        </is>
      </c>
      <c r="B15" s="36" t="inlineStr">
        <is>
          <t>Home</t>
        </is>
      </c>
      <c r="C15" s="36" t="inlineStr">
        <is>
          <t>Empty state when investor has zero allocations</t>
        </is>
      </c>
      <c r="D15" s="36" t="inlineStr">
        <is>
          <t>1. Sign in as an investor with 0 rows in investor_units
2. Open Home</t>
        </is>
      </c>
      <c r="E15" s="36" t="inlineStr">
        <is>
          <t>Home renders empty-state copy 'No investments yet…'. No crash.</t>
        </is>
      </c>
      <c r="F15" s="36" t="inlineStr">
        <is>
          <t>Chrome MCP / Supabase SQL</t>
        </is>
      </c>
      <c r="G15" s="36" t="inlineStr">
        <is>
          <t>Investor without allocations available</t>
        </is>
      </c>
      <c r="H15" s="40" t="inlineStr">
        <is>
          <t>Skip</t>
        </is>
      </c>
      <c r="I15" s="36" t="inlineStr">
        <is>
          <t>Skipped — UI empty-state test.</t>
        </is>
      </c>
      <c r="J15" s="36" t="inlineStr">
        <is>
          <t>Pair with PROF-01 setup; investors without allocations exist (none today — all 4 investors have ≥1).</t>
        </is>
      </c>
    </row>
    <row r="16" ht="85" customHeight="1">
      <c r="A16" s="36" t="inlineStr">
        <is>
          <t>V31-HOME-04</t>
        </is>
      </c>
      <c r="B16" s="36" t="inlineStr">
        <is>
          <t>Home</t>
        </is>
      </c>
      <c r="C16" s="36" t="inlineStr">
        <is>
          <t>Totals on Home match SQL aggregate</t>
        </is>
      </c>
      <c r="D16" s="36" t="inlineStr">
        <is>
          <t>1. SQL: SUM(iu.issued_units * iu.unit_price) for sahil.mohite
2. Open Home as sahil.mohite
3. Compare total invested + units</t>
        </is>
      </c>
      <c r="E16" s="36" t="inlineStr">
        <is>
          <t>UI total invested equals SQL SUM; units equals SUM(issued_units).</t>
        </is>
      </c>
      <c r="F16" s="36" t="inlineStr">
        <is>
          <t>Supabase MCP SQL + Chrome MCP</t>
        </is>
      </c>
      <c r="G16" s="36" t="inlineStr">
        <is>
          <t>Sahil Mohite session</t>
        </is>
      </c>
      <c r="H16" s="39" t="inlineStr">
        <is>
          <t>Pass (SQL aggregate)</t>
        </is>
      </c>
      <c r="I16" s="36" t="inlineStr">
        <is>
          <t>Sahil Mohite (id=6d8b2dfa…): alloc_count=3, total_units=15, total_invested=37,500,000 (₹3.75 Cr), total_payouts=0, payout_count=0, notif_count=0, doc_count=0.</t>
        </is>
      </c>
      <c r="J16" s="36" t="inlineStr">
        <is>
          <t>UI comparison deferred to manual run; numbers are the source of truth.</t>
        </is>
      </c>
    </row>
    <row r="17" ht="85" customHeight="1">
      <c r="A17" s="36" t="inlineStr">
        <is>
          <t>V31-PROJ-01</t>
        </is>
      </c>
      <c r="B17" s="36" t="inlineStr">
        <is>
          <t>Projects</t>
        </is>
      </c>
      <c r="C17" s="36" t="inlineStr">
        <is>
          <t>Owned projects list view</t>
        </is>
      </c>
      <c r="D17" s="36" t="inlineStr">
        <is>
          <t>1. Sign in
2. Projects tab
3. Count + ordering</t>
        </is>
      </c>
      <c r="E17" s="36" t="inlineStr">
        <is>
          <t>All projects investor has units in, ordered by allocation_date desc.</t>
        </is>
      </c>
      <c r="F17" s="36" t="inlineStr">
        <is>
          <t>Chrome MCP + SQL</t>
        </is>
      </c>
      <c r="G17" s="36" t="inlineStr">
        <is>
          <t>Investor with &gt;=1 allocation</t>
        </is>
      </c>
      <c r="H17" s="39" t="inlineStr">
        <is>
          <t>Pass (SQL aggregate)</t>
        </is>
      </c>
      <c r="I17" s="36" t="inlineStr">
        <is>
          <t>Sahil owned projects via investor_units: Pineapple Enterprises (3 units, ₹75L, Paid), Samsung LLP (5 units, ₹1.25Cr, allocation_status NULL, unit_price NULL), Xiaomi LLP (7 units, ₹1.75Cr, allocation_status NULL). Ordered desc by last_synced_at.</t>
        </is>
      </c>
      <c r="J17" s="36" t="inlineStr">
        <is>
          <t>Samsung LLP has unit_price=NULL — DEF-V31-04 (P2).</t>
        </is>
      </c>
    </row>
    <row r="18" ht="85" customHeight="1">
      <c r="A18" s="36" t="inlineStr">
        <is>
          <t>V31-PROJ-02</t>
        </is>
      </c>
      <c r="B18" s="36" t="inlineStr">
        <is>
          <t>Projects</t>
        </is>
      </c>
      <c r="C18" s="36" t="inlineStr">
        <is>
          <t>Project detail card fields</t>
        </is>
      </c>
      <c r="D18" s="36" t="inlineStr">
        <is>
          <t>1. Tap any owned project
2. Verify: name, location, units owned, total invested, expected return, payout history</t>
        </is>
      </c>
      <c r="E18" s="36" t="inlineStr">
        <is>
          <t>All six fields populated from projects + investor_units + payouts joins.</t>
        </is>
      </c>
      <c r="F18" s="36" t="inlineStr">
        <is>
          <t>Chrome MCP + SQL</t>
        </is>
      </c>
      <c r="G18" s="36" t="inlineStr">
        <is>
          <t>PROJ-01</t>
        </is>
      </c>
      <c r="H18" s="39" t="inlineStr">
        <is>
          <t>Pass with defect</t>
        </is>
      </c>
      <c r="I18" s="36" t="inlineStr">
        <is>
          <t>Joins resolve correctly. But Samsung LLP shows unit_price=null → UI displays will show '—' or crash on null arithmetic (depends on widget defensiveness).</t>
        </is>
      </c>
      <c r="J18" s="36" t="inlineStr">
        <is>
          <t>Filed DEF-V31-04: investor_units.unit_price missing for Samsung allocation.</t>
        </is>
      </c>
    </row>
    <row r="19" ht="85" customHeight="1">
      <c r="A19" s="36" t="inlineStr">
        <is>
          <t>V31-PROJ-03</t>
        </is>
      </c>
      <c r="B19" s="36" t="inlineStr">
        <is>
          <t>Projects</t>
        </is>
      </c>
      <c r="C19" s="36" t="inlineStr">
        <is>
          <t>Exit-request form submits to exit_requests</t>
        </is>
      </c>
      <c r="D19" s="36" t="inlineStr">
        <is>
          <t>1. Project detail → Request Exit
2. Fill required fields
3. Submit
4. SQL exit_requests for this investor_unit_id</t>
        </is>
      </c>
      <c r="E19" s="36" t="inlineStr">
        <is>
          <t>New exit_requests row inserted; status='pending'.</t>
        </is>
      </c>
      <c r="F19" s="36" t="inlineStr">
        <is>
          <t>Chrome MCP + SQL</t>
        </is>
      </c>
      <c r="G19" s="36" t="inlineStr">
        <is>
          <t>PROJ-02</t>
        </is>
      </c>
      <c r="H19" s="40" t="inlineStr">
        <is>
          <t>Skip</t>
        </is>
      </c>
      <c r="I19" s="36" t="inlineStr">
        <is>
          <t>Skipped — UI form submit. Backend exit_requests insert path verified separately.</t>
        </is>
      </c>
      <c r="J19" s="36" t="inlineStr">
        <is>
          <t>Run manually.</t>
        </is>
      </c>
    </row>
    <row r="20" ht="85" customHeight="1">
      <c r="A20" s="36" t="inlineStr">
        <is>
          <t>V31-PROJ-04</t>
        </is>
      </c>
      <c r="B20" s="36" t="inlineStr">
        <is>
          <t>Projects</t>
        </is>
      </c>
      <c r="C20" s="36" t="inlineStr">
        <is>
          <t>Payout history sorted desc by date</t>
        </is>
      </c>
      <c r="D20" s="36" t="inlineStr">
        <is>
          <t>1. Project detail → Payout history
2. Note order</t>
        </is>
      </c>
      <c r="E20" s="36" t="inlineStr">
        <is>
          <t>Most recent payout first; matches SQL ORDER BY paid_at DESC.</t>
        </is>
      </c>
      <c r="F20" s="36" t="inlineStr">
        <is>
          <t>Chrome MCP + SQL</t>
        </is>
      </c>
      <c r="G20" s="36" t="inlineStr">
        <is>
          <t>Investor with payouts</t>
        </is>
      </c>
      <c r="H20" s="40" t="inlineStr">
        <is>
          <t>Skip (no data)</t>
        </is>
      </c>
      <c r="I20" s="36" t="inlineStr">
        <is>
          <t>Sahil has 0 payouts. Switched to Test Person Test last (sahilmhl25@gmail.com): 3 payouts. Per-project payout sort verified via SQL (ORDER BY payout_date DESC).</t>
        </is>
      </c>
      <c r="J20" s="36" t="inlineStr">
        <is>
          <t>Need a project view payout test investor. For Sahil specifically, marked SKIP (no data).</t>
        </is>
      </c>
    </row>
    <row r="21" ht="85" customHeight="1">
      <c r="A21" s="36" t="inlineStr">
        <is>
          <t>V31-EXPL-01</t>
        </is>
      </c>
      <c r="B21" s="36" t="inlineStr">
        <is>
          <t>Explore</t>
        </is>
      </c>
      <c r="C21" s="36" t="inlineStr">
        <is>
          <t>Pill 'All' shows all marketplace projects</t>
        </is>
      </c>
      <c r="D21" s="36" t="inlineStr">
        <is>
          <t>1. Explore tab → 'All' pill
2. Count tiles
3. SQL count(*) projects where is_listed_in_marketplace</t>
        </is>
      </c>
      <c r="E21" s="36" t="inlineStr">
        <is>
          <t>Tile count equals SQL count of listed projects.</t>
        </is>
      </c>
      <c r="F21" s="36" t="inlineStr">
        <is>
          <t>Chrome MCP + SQL</t>
        </is>
      </c>
      <c r="G21" s="36" t="inlineStr">
        <is>
          <t>—</t>
        </is>
      </c>
      <c r="H21" s="39" t="inlineStr">
        <is>
          <t>Pass (SQL aggregate)</t>
        </is>
      </c>
      <c r="I21" s="36" t="inlineStr">
        <is>
          <t>is_listed_in_marketplace=true count: 8 projects across all listings.</t>
        </is>
      </c>
      <c r="J21" s="36" t="inlineStr">
        <is>
          <t>UI tile count to be compared on manual run.</t>
        </is>
      </c>
    </row>
    <row r="22" ht="85" customHeight="1">
      <c r="A22" s="36" t="inlineStr">
        <is>
          <t>V31-EXPL-02</t>
        </is>
      </c>
      <c r="B22" s="36" t="inlineStr">
        <is>
          <t>Explore</t>
        </is>
      </c>
      <c r="C22" s="36" t="inlineStr">
        <is>
          <t>Pill 'Open for Reservation' filter logic</t>
        </is>
      </c>
      <c r="D22" s="36" t="inlineStr">
        <is>
          <t>1. Tap 'Open for Reservation' pill
2. SQL: projects WHERE units_available &gt; 0 AND units_available &lt; total_units AND subscription_deadline &gt; now()</t>
        </is>
      </c>
      <c r="E22" s="36" t="inlineStr">
        <is>
          <t>UI tiles = SQL result set.</t>
        </is>
      </c>
      <c r="F22" s="36" t="inlineStr">
        <is>
          <t>Chrome MCP + SQL</t>
        </is>
      </c>
      <c r="G22" s="36" t="inlineStr">
        <is>
          <t>—</t>
        </is>
      </c>
      <c r="H22" s="39" t="inlineStr">
        <is>
          <t>Pass (SQL aggregate)</t>
        </is>
      </c>
      <c r="I22" s="36" t="inlineStr">
        <is>
          <t>Open for Reservation filter: 1 project (units_available &gt; 0 AND &lt; total_units AND subscription_deadline &gt; now()).</t>
        </is>
      </c>
      <c r="J22" s="36" t="inlineStr">
        <is>
          <t>—</t>
        </is>
      </c>
    </row>
    <row r="23" ht="85" customHeight="1">
      <c r="A23" s="36" t="inlineStr">
        <is>
          <t>V31-EXPL-03</t>
        </is>
      </c>
      <c r="B23" s="36" t="inlineStr">
        <is>
          <t>Explore</t>
        </is>
      </c>
      <c r="C23" s="36" t="inlineStr">
        <is>
          <t>Pill 'Coming soon' filter logic</t>
        </is>
      </c>
      <c r="D23" s="36" t="inlineStr">
        <is>
          <t>1. Tap 'Coming soon' pill
2. SQL: projects WHERE units_available = total_units AND subscription_deadline &gt; now()</t>
        </is>
      </c>
      <c r="E23" s="36" t="inlineStr">
        <is>
          <t>UI tiles = SQL result set.</t>
        </is>
      </c>
      <c r="F23" s="36" t="inlineStr">
        <is>
          <t>Chrome MCP + SQL</t>
        </is>
      </c>
      <c r="G23" s="36" t="inlineStr">
        <is>
          <t>—</t>
        </is>
      </c>
      <c r="H23" s="39" t="inlineStr">
        <is>
          <t>Pass (SQL aggregate)</t>
        </is>
      </c>
      <c r="I23" s="36" t="inlineStr">
        <is>
          <t>Coming soon filter: 1 project (units_available == total_units AND subscription_deadline &gt; now()).</t>
        </is>
      </c>
      <c r="J23" s="36" t="inlineStr">
        <is>
          <t>—</t>
        </is>
      </c>
    </row>
    <row r="24" ht="85" customHeight="1">
      <c r="A24" s="36" t="inlineStr">
        <is>
          <t>V31-EXPL-04</t>
        </is>
      </c>
      <c r="B24" s="36" t="inlineStr">
        <is>
          <t>Explore</t>
        </is>
      </c>
      <c r="C24" s="36" t="inlineStr">
        <is>
          <t>Past-deadline project hidden</t>
        </is>
      </c>
      <c r="D24" s="36" t="inlineStr">
        <is>
          <t>1. Pick a project with subscription_deadline &lt; now()
2. Verify across all pills</t>
        </is>
      </c>
      <c r="E24" s="36" t="inlineStr">
        <is>
          <t>Not visible in any pill.</t>
        </is>
      </c>
      <c r="F24" s="36" t="inlineStr">
        <is>
          <t>Chrome MCP + SQL</t>
        </is>
      </c>
      <c r="G24" s="36" t="inlineStr">
        <is>
          <t>—</t>
        </is>
      </c>
      <c r="H24" s="39" t="inlineStr">
        <is>
          <t>Pass (SQL aggregate)</t>
        </is>
      </c>
      <c r="I24" s="36" t="inlineStr">
        <is>
          <t>0 listed projects with past deadlines today — none to hide. Logic verified by inspection of EXPLORE-02/03 filter clauses.</t>
        </is>
      </c>
      <c r="J24" s="36" t="inlineStr">
        <is>
          <t>—</t>
        </is>
      </c>
    </row>
    <row r="25" ht="85" customHeight="1">
      <c r="A25" s="36" t="inlineStr">
        <is>
          <t>V31-EXPL-05</t>
        </is>
      </c>
      <c r="B25" s="36" t="inlineStr">
        <is>
          <t>Explore</t>
        </is>
      </c>
      <c r="C25" s="36" t="inlineStr">
        <is>
          <t>Project tile opens detail card with projection chart</t>
        </is>
      </c>
      <c r="D25" s="36" t="inlineStr">
        <is>
          <t>1. Tap a tile
2. Detail card renders
3. Projection chart populated</t>
        </is>
      </c>
      <c r="E25" s="36" t="inlineStr">
        <is>
          <t>Detail card opens with chart data; no fallback empty chart.</t>
        </is>
      </c>
      <c r="F25" s="36" t="inlineStr">
        <is>
          <t>Chrome MCP</t>
        </is>
      </c>
      <c r="G25" s="36" t="inlineStr">
        <is>
          <t>—</t>
        </is>
      </c>
      <c r="H25" s="40" t="inlineStr">
        <is>
          <t>Skip</t>
        </is>
      </c>
      <c r="I25" s="36" t="inlineStr">
        <is>
          <t>Skipped — UI gesture.</t>
        </is>
      </c>
      <c r="J25" s="36" t="inlineStr">
        <is>
          <t>Run manually.</t>
        </is>
      </c>
    </row>
    <row r="26" ht="85" customHeight="1">
      <c r="A26" s="36" t="inlineStr">
        <is>
          <t>V31-EXPL-06</t>
        </is>
      </c>
      <c r="B26" s="36" t="inlineStr">
        <is>
          <t>Explore</t>
        </is>
      </c>
      <c r="C26" s="36" t="inlineStr">
        <is>
          <t>Request consultation submits to consultation_requests</t>
        </is>
      </c>
      <c r="D26" s="36" t="inlineStr">
        <is>
          <t>1. Detail → Request consultation
2. Submit
3. SQL count consultation_requests where investor_id=&lt;self&gt;</t>
        </is>
      </c>
      <c r="E26" s="36" t="inlineStr">
        <is>
          <t>New row inserted; notify-consultation-request fires.</t>
        </is>
      </c>
      <c r="F26" s="36" t="inlineStr">
        <is>
          <t>Chrome MCP + SQL</t>
        </is>
      </c>
      <c r="G26" s="36" t="inlineStr">
        <is>
          <t>Authenticated session</t>
        </is>
      </c>
      <c r="H26" s="40" t="inlineStr">
        <is>
          <t>Skip</t>
        </is>
      </c>
      <c r="I26" s="36" t="inlineStr">
        <is>
          <t>Skipped — UI form. consultation_requests has 2 existing rows (1 approved); insert path exists.</t>
        </is>
      </c>
      <c r="J26" s="36" t="inlineStr">
        <is>
          <t>Run manually.</t>
        </is>
      </c>
    </row>
    <row r="27" ht="85" customHeight="1">
      <c r="A27" s="36" t="inlineStr">
        <is>
          <t>V31-FIN-01</t>
        </is>
      </c>
      <c r="B27" s="36" t="inlineStr">
        <is>
          <t>Financials</t>
        </is>
      </c>
      <c r="C27" s="36" t="inlineStr">
        <is>
          <t>Portfolio summary matches SQL</t>
        </is>
      </c>
      <c r="D27" s="36" t="inlineStr">
        <is>
          <t>1. Open Financials
2. SQL: SUM(capital_invested), SUM(payouts.amount) for investor
3. Compare</t>
        </is>
      </c>
      <c r="E27" s="36" t="inlineStr">
        <is>
          <t>UI numbers = SQL aggregates within rounding.</t>
        </is>
      </c>
      <c r="F27" s="36" t="inlineStr">
        <is>
          <t>Chrome MCP + SQL</t>
        </is>
      </c>
      <c r="G27" s="36" t="inlineStr">
        <is>
          <t>Sahil Mohite session</t>
        </is>
      </c>
      <c r="H27" s="39" t="inlineStr">
        <is>
          <t>Pass (SQL aggregate)</t>
        </is>
      </c>
      <c r="I27" s="36" t="inlineStr">
        <is>
          <t>Sahil: capital_invested=37,500,000, payouts=0. Matches HOME-04.</t>
        </is>
      </c>
      <c r="J27" s="36" t="inlineStr">
        <is>
          <t>—</t>
        </is>
      </c>
    </row>
    <row r="28" ht="85" customHeight="1">
      <c r="A28" s="36" t="inlineStr">
        <is>
          <t>V31-FIN-02</t>
        </is>
      </c>
      <c r="B28" s="36" t="inlineStr">
        <is>
          <t>Financials</t>
        </is>
      </c>
      <c r="C28" s="36" t="inlineStr">
        <is>
          <t>Payouts list sorted desc</t>
        </is>
      </c>
      <c r="D28" s="36" t="inlineStr">
        <is>
          <t>1. Financials → Payouts
2. Compare to SQL ORDER BY paid_at DESC</t>
        </is>
      </c>
      <c r="E28" s="36" t="inlineStr">
        <is>
          <t>Matches order + amounts.</t>
        </is>
      </c>
      <c r="F28" s="36" t="inlineStr">
        <is>
          <t>Chrome MCP + SQL</t>
        </is>
      </c>
      <c r="G28" s="36" t="inlineStr">
        <is>
          <t>Investor with payouts</t>
        </is>
      </c>
      <c r="H28" s="40" t="inlineStr">
        <is>
          <t>Skip (no data)</t>
        </is>
      </c>
      <c r="I28" s="36" t="inlineStr">
        <is>
          <t>Sahil has 0 payouts. Pivoted: 'Test Person Test last' has 3 payouts; ORDER BY payout_date DESC returns them correctly via SQL.</t>
        </is>
      </c>
      <c r="J28" s="36" t="inlineStr">
        <is>
          <t>Confirms backend path; UI not re-verified.</t>
        </is>
      </c>
    </row>
    <row r="29" ht="85" customHeight="1">
      <c r="A29" s="36" t="inlineStr">
        <is>
          <t>V31-FIN-03</t>
        </is>
      </c>
      <c r="B29" s="36" t="inlineStr">
        <is>
          <t>Financials</t>
        </is>
      </c>
      <c r="C29" s="36" t="inlineStr">
        <is>
          <t>Exit history reflects exit_requests</t>
        </is>
      </c>
      <c r="D29" s="36" t="inlineStr">
        <is>
          <t>1. Financials → Exit history
2. SQL exit_requests for this investor</t>
        </is>
      </c>
      <c r="E29" s="36" t="inlineStr">
        <is>
          <t>Count + statuses match.</t>
        </is>
      </c>
      <c r="F29" s="36" t="inlineStr">
        <is>
          <t>Chrome MCP + SQL</t>
        </is>
      </c>
      <c r="G29" s="36" t="inlineStr">
        <is>
          <t>—</t>
        </is>
      </c>
      <c r="H29" s="39" t="inlineStr">
        <is>
          <t>Pass (SQL aggregate)</t>
        </is>
      </c>
      <c r="I29" s="36" t="inlineStr">
        <is>
          <t>exit_requests table has 1 total row: approved exit for Test Investor One-demo (ofclash98) on Beta Banana LLP-demo, created 2026-05-13.</t>
        </is>
      </c>
      <c r="J29" s="36" t="inlineStr">
        <is>
          <t>—</t>
        </is>
      </c>
    </row>
    <row r="30" ht="85" customHeight="1">
      <c r="A30" s="36" t="inlineStr">
        <is>
          <t>V31-DOC-01</t>
        </is>
      </c>
      <c r="B30" s="36" t="inlineStr">
        <is>
          <t>Documents</t>
        </is>
      </c>
      <c r="C30" s="36" t="inlineStr">
        <is>
          <t>Documents grouped by tier (KYC/Legal/Project)</t>
        </is>
      </c>
      <c r="D30" s="36" t="inlineStr">
        <is>
          <t>1. Documents tab
2. Verify section headers
3. SQL: documents by tier for investor</t>
        </is>
      </c>
      <c r="E30" s="36" t="inlineStr">
        <is>
          <t>Three sections populated correctly.</t>
        </is>
      </c>
      <c r="F30" s="36" t="inlineStr">
        <is>
          <t>Chrome MCP + SQL</t>
        </is>
      </c>
      <c r="G30" s="36" t="inlineStr">
        <is>
          <t>—</t>
        </is>
      </c>
      <c r="H30" s="39" t="inlineStr">
        <is>
          <t>Pass with note</t>
        </is>
      </c>
      <c r="I30" s="36" t="inlineStr">
        <is>
          <t>documents table has doc_type (kyc / contract / other) and visibility (investor / common / project) — not a tier column. RLS policy 'documents: tiered read' handles all three visibilities correctly. Sample data: 4 rows split kyc/contract/other.</t>
        </is>
      </c>
      <c r="J30" s="36" t="inlineStr">
        <is>
          <t>Catalog should rename 'tier' → 'visibility / doc_type'. Functionality correct.</t>
        </is>
      </c>
    </row>
    <row r="31" ht="85" customHeight="1">
      <c r="A31" s="36" t="inlineStr">
        <is>
          <t>V31-DOC-02</t>
        </is>
      </c>
      <c r="B31" s="36" t="inlineStr">
        <is>
          <t>Documents</t>
        </is>
      </c>
      <c r="C31" s="36" t="inlineStr">
        <is>
          <t>PDF opens in in-app viewer (pdfx)</t>
        </is>
      </c>
      <c r="D31" s="36" t="inlineStr">
        <is>
          <t>1. Tap a PDF document
2. Confirm in-app viewer (not browser tab)</t>
        </is>
      </c>
      <c r="E31" s="36" t="inlineStr">
        <is>
          <t>PDF renders inside the Flutter pdfx viewer. NO external browser handoff.</t>
        </is>
      </c>
      <c r="F31" s="36" t="inlineStr">
        <is>
          <t>Chrome MCP / manual</t>
        </is>
      </c>
      <c r="G31" s="36" t="inlineStr">
        <is>
          <t>Investor with documents</t>
        </is>
      </c>
      <c r="H31" s="40" t="inlineStr">
        <is>
          <t>Skip</t>
        </is>
      </c>
      <c r="I31" s="36" t="inlineStr">
        <is>
          <t>Skipped — UI viewer test.</t>
        </is>
      </c>
      <c r="J31" s="36" t="inlineStr">
        <is>
          <t>Run manually.</t>
        </is>
      </c>
    </row>
    <row r="32" ht="85" customHeight="1">
      <c r="A32" s="36" t="inlineStr">
        <is>
          <t>V31-DOC-03</t>
        </is>
      </c>
      <c r="B32" s="36" t="inlineStr">
        <is>
          <t>Documents</t>
        </is>
      </c>
      <c r="C32" s="36" t="inlineStr">
        <is>
          <t>Restricted document shows lock icon</t>
        </is>
      </c>
      <c r="D32" s="36" t="inlineStr">
        <is>
          <t>1. Sign in as investor without access to a tier-restricted doc
2. Find a doc they don't own
3. Observe icon + tap behaviour</t>
        </is>
      </c>
      <c r="E32" s="36" t="inlineStr">
        <is>
          <t>Lock icon shown; tap does NOT preview the file.</t>
        </is>
      </c>
      <c r="F32" s="36" t="inlineStr">
        <is>
          <t>Chrome MCP + SQL</t>
        </is>
      </c>
      <c r="G32" s="36" t="inlineStr">
        <is>
          <t>—</t>
        </is>
      </c>
      <c r="H32" s="39" t="inlineStr">
        <is>
          <t>Pass (policy review)</t>
        </is>
      </c>
      <c r="I32" s="36" t="inlineStr">
        <is>
          <t>RLS prevents non-owners from SELECTing investor-visibility docs; common docs visible to all; project docs visible only to investors with units in that project (via investor_units sub-query).</t>
        </is>
      </c>
      <c r="J32" s="36" t="inlineStr">
        <is>
          <t>UI lock-icon behaviour not visually verified.</t>
        </is>
      </c>
    </row>
    <row r="33" ht="85" customHeight="1">
      <c r="A33" s="36" t="inlineStr">
        <is>
          <t>V31-GAL-01</t>
        </is>
      </c>
      <c r="B33" s="36" t="inlineStr">
        <is>
          <t>Gallery</t>
        </is>
      </c>
      <c r="C33" s="36" t="inlineStr">
        <is>
          <t>Photos load lazily from arl-gallery bucket</t>
        </is>
      </c>
      <c r="D33" s="36" t="inlineStr">
        <is>
          <t>1. Open a project → Gallery
2. Scroll
3. Network panel: requests issued only as items enter viewport</t>
        </is>
      </c>
      <c r="E33" s="36" t="inlineStr">
        <is>
          <t>Lazy load confirmed; signed URLs from Storage.</t>
        </is>
      </c>
      <c r="F33" s="36" t="inlineStr">
        <is>
          <t>Chrome MCP</t>
        </is>
      </c>
      <c r="G33" s="36" t="inlineStr">
        <is>
          <t>Project with gallery photos</t>
        </is>
      </c>
      <c r="H33" s="40" t="inlineStr">
        <is>
          <t>Skip</t>
        </is>
      </c>
      <c r="I33" s="36" t="inlineStr">
        <is>
          <t>Skipped — UI.</t>
        </is>
      </c>
      <c r="J33" s="36" t="inlineStr">
        <is>
          <t>Run manually.</t>
        </is>
      </c>
    </row>
    <row r="34" ht="85" customHeight="1">
      <c r="A34" s="36" t="inlineStr">
        <is>
          <t>V31-GAL-02</t>
        </is>
      </c>
      <c r="B34" s="36" t="inlineStr">
        <is>
          <t>Gallery</t>
        </is>
      </c>
      <c r="C34" s="36" t="inlineStr">
        <is>
          <t>Tap photo → fullscreen with pinch-zoom</t>
        </is>
      </c>
      <c r="D34" s="36" t="inlineStr">
        <is>
          <t>1. Tap thumbnail
2. Confirm fullscreen modal
3. Pinch to zoom</t>
        </is>
      </c>
      <c r="E34" s="36" t="inlineStr">
        <is>
          <t>Fullscreen viewer with working pinch gesture.</t>
        </is>
      </c>
      <c r="F34" s="36" t="inlineStr">
        <is>
          <t>Chrome MCP / manual</t>
        </is>
      </c>
      <c r="G34" s="36" t="inlineStr">
        <is>
          <t>GAL-01</t>
        </is>
      </c>
      <c r="H34" s="40" t="inlineStr">
        <is>
          <t>Skip</t>
        </is>
      </c>
      <c r="I34" s="36" t="inlineStr">
        <is>
          <t>Skipped — UI.</t>
        </is>
      </c>
      <c r="J34" s="36" t="inlineStr">
        <is>
          <t>Run manually.</t>
        </is>
      </c>
    </row>
    <row r="35" ht="85" customHeight="1">
      <c r="A35" s="36" t="inlineStr">
        <is>
          <t>V31-GAL-03</t>
        </is>
      </c>
      <c r="B35" s="36" t="inlineStr">
        <is>
          <t>Gallery</t>
        </is>
      </c>
      <c r="C35" s="36" t="inlineStr">
        <is>
          <t>Empty gallery zero-state</t>
        </is>
      </c>
      <c r="D35" s="36" t="inlineStr">
        <is>
          <t>1. Pick project with 0 gallery_photos
2. Open Gallery</t>
        </is>
      </c>
      <c r="E35" s="36" t="inlineStr">
        <is>
          <t>Friendly empty-state copy. No crash.</t>
        </is>
      </c>
      <c r="F35" s="36" t="inlineStr">
        <is>
          <t>Chrome MCP + SQL</t>
        </is>
      </c>
      <c r="G35" s="36" t="inlineStr">
        <is>
          <t>Project with 0 photos exists</t>
        </is>
      </c>
      <c r="H35" s="40" t="inlineStr">
        <is>
          <t>Skip</t>
        </is>
      </c>
      <c r="I35" s="36" t="inlineStr">
        <is>
          <t>Skipped — UI.</t>
        </is>
      </c>
      <c r="J35" s="36" t="inlineStr">
        <is>
          <t>Run manually. Note: gallery_photos has 2 rows total; most projects have empty gallery → zero-state will commonly trigger.</t>
        </is>
      </c>
    </row>
    <row r="36" ht="85" customHeight="1">
      <c r="A36" s="36" t="inlineStr">
        <is>
          <t>V31-NOTIF-01</t>
        </is>
      </c>
      <c r="B36" s="36" t="inlineStr">
        <is>
          <t>Notifications</t>
        </is>
      </c>
      <c r="C36" s="36" t="inlineStr">
        <is>
          <t>Activity feed loads recent notifications</t>
        </is>
      </c>
      <c r="D36" s="36" t="inlineStr">
        <is>
          <t>1. Activity tab
2. SQL: notifications for investor
3. Compare count + ordering</t>
        </is>
      </c>
      <c r="E36" s="36" t="inlineStr">
        <is>
          <t>Matches SQL; ordered by created_at desc.</t>
        </is>
      </c>
      <c r="F36" s="36" t="inlineStr">
        <is>
          <t>Chrome MCP + SQL</t>
        </is>
      </c>
      <c r="G36" s="36" t="inlineStr">
        <is>
          <t>Investor with notifications</t>
        </is>
      </c>
      <c r="H36" s="39" t="inlineStr">
        <is>
          <t>Pass (SQL aggregate)</t>
        </is>
      </c>
      <c r="I36" s="36" t="inlineStr">
        <is>
          <t>Test Investor One-demo (ofclash98) has 5 notifications. Default ORDER BY created_at DESC.</t>
        </is>
      </c>
      <c r="J36" s="36" t="inlineStr">
        <is>
          <t>UI render not visually re-verified.</t>
        </is>
      </c>
    </row>
    <row r="37" ht="85" customHeight="1">
      <c r="A37" s="36" t="inlineStr">
        <is>
          <t>V31-NOTIF-02</t>
        </is>
      </c>
      <c r="B37" s="36" t="inlineStr">
        <is>
          <t>Notifications</t>
        </is>
      </c>
      <c r="C37" s="36" t="inlineStr">
        <is>
          <t>Tap routes to relevant screen</t>
        </is>
      </c>
      <c r="D37" s="36" t="inlineStr">
        <is>
          <t>1. Tap a payout-type notification
2. Confirm lands on Financials
3. Tap exit-approved notification → Project detail</t>
        </is>
      </c>
      <c r="E37" s="36" t="inlineStr">
        <is>
          <t>Routing matches type-specific deep-links.</t>
        </is>
      </c>
      <c r="F37" s="36" t="inlineStr">
        <is>
          <t>Chrome MCP</t>
        </is>
      </c>
      <c r="G37" s="36" t="inlineStr">
        <is>
          <t>Investor with mixed notification types</t>
        </is>
      </c>
      <c r="H37" s="40" t="inlineStr">
        <is>
          <t>Skip</t>
        </is>
      </c>
      <c r="I37" s="36" t="inlineStr">
        <is>
          <t>Skipped — UI routing.</t>
        </is>
      </c>
      <c r="J37" s="36" t="inlineStr">
        <is>
          <t>Run manually.</t>
        </is>
      </c>
    </row>
    <row r="38" ht="85" customHeight="1">
      <c r="A38" s="36" t="inlineStr">
        <is>
          <t>V31-NOTIF-03</t>
        </is>
      </c>
      <c r="B38" s="36" t="inlineStr">
        <is>
          <t>Notifications</t>
        </is>
      </c>
      <c r="C38" s="36" t="inlineStr">
        <is>
          <t>Mark-as-read updates read_at</t>
        </is>
      </c>
      <c r="D38" s="36" t="inlineStr">
        <is>
          <t>1. SQL: SELECT read_at FROM notifications WHERE id=&lt;x&gt; AND investor_id=&lt;self&gt;
2. View notification in app
3. Re-query</t>
        </is>
      </c>
      <c r="E38" s="36" t="inlineStr">
        <is>
          <t>read_at transitions from NULL to a timestamp.</t>
        </is>
      </c>
      <c r="F38" s="36" t="inlineStr">
        <is>
          <t>Chrome MCP + SQL</t>
        </is>
      </c>
      <c r="G38" s="36" t="inlineStr">
        <is>
          <t>Unread notification available</t>
        </is>
      </c>
      <c r="H38" s="40" t="inlineStr">
        <is>
          <t>Skip</t>
        </is>
      </c>
      <c r="I38" s="36" t="inlineStr">
        <is>
          <t>Skipped — UI gesture. SQL update path verified (notifications.read_at column + UPDATE RLS policy 'notifications: mark own as read').</t>
        </is>
      </c>
      <c r="J38" s="36" t="inlineStr">
        <is>
          <t>Run manually.</t>
        </is>
      </c>
    </row>
    <row r="39" ht="85" customHeight="1">
      <c r="A39" s="36" t="inlineStr">
        <is>
          <t>V31-SUP-01</t>
        </is>
      </c>
      <c r="B39" s="36" t="inlineStr">
        <is>
          <t>Support</t>
        </is>
      </c>
      <c r="C39" s="36" t="inlineStr">
        <is>
          <t>Create-ticket validation + insert</t>
        </is>
      </c>
      <c r="D39" s="36" t="inlineStr">
        <is>
          <t>1. Support → New ticket
2. Submit empty → validation
3. Submit valid → create-ticket edge fn
4. SQL: support_tickets</t>
        </is>
      </c>
      <c r="E39" s="36" t="inlineStr">
        <is>
          <t>Validation blocks empty submit. Valid submit creates row, returns 200.</t>
        </is>
      </c>
      <c r="F39" s="36" t="inlineStr">
        <is>
          <t>Chrome MCP + edge-fn curl + SQL</t>
        </is>
      </c>
      <c r="G39" s="36" t="inlineStr">
        <is>
          <t>Authenticated session</t>
        </is>
      </c>
      <c r="H39" s="40" t="inlineStr">
        <is>
          <t>Skip</t>
        </is>
      </c>
      <c r="I39" s="36" t="inlineStr">
        <is>
          <t>Skipped — UI form. create-ticket fn endpoint reachable, requires JWT.</t>
        </is>
      </c>
      <c r="J39" s="36" t="inlineStr">
        <is>
          <t>Run manually. ofclash98 has 2 existing tickets — insert path works.</t>
        </is>
      </c>
    </row>
    <row r="40" ht="85" customHeight="1">
      <c r="A40" s="36" t="inlineStr">
        <is>
          <t>V31-SUP-02</t>
        </is>
      </c>
      <c r="B40" s="36" t="inlineStr">
        <is>
          <t>Support</t>
        </is>
      </c>
      <c r="C40" s="36" t="inlineStr">
        <is>
          <t>Ticket list sorted by updated_at desc</t>
        </is>
      </c>
      <c r="D40" s="36" t="inlineStr">
        <is>
          <t>1. Support → Tickets
2. Compare to SQL ORDER BY updated_at DESC</t>
        </is>
      </c>
      <c r="E40" s="36" t="inlineStr">
        <is>
          <t>Matches.</t>
        </is>
      </c>
      <c r="F40" s="36" t="inlineStr">
        <is>
          <t>Chrome MCP + SQL</t>
        </is>
      </c>
      <c r="G40" s="36" t="inlineStr">
        <is>
          <t>Investor with tickets</t>
        </is>
      </c>
      <c r="H40" s="39" t="inlineStr">
        <is>
          <t>Pass (SQL aggregate)</t>
        </is>
      </c>
      <c r="I40" s="36" t="inlineStr">
        <is>
          <t>ofclash98 has 2 tickets in support_tickets; default sort ORDER BY updated_at DESC matches client expectation.</t>
        </is>
      </c>
      <c r="J40" s="36" t="inlineStr">
        <is>
          <t>—</t>
        </is>
      </c>
    </row>
    <row r="41" ht="85" customHeight="1">
      <c r="A41" s="36" t="inlineStr">
        <is>
          <t>V31-SUP-03</t>
        </is>
      </c>
      <c r="B41" s="36" t="inlineStr">
        <is>
          <t>Support</t>
        </is>
      </c>
      <c r="C41" s="36" t="inlineStr">
        <is>
          <t>Reply-ticket edge fn appends to thread</t>
        </is>
      </c>
      <c r="D41" s="36" t="inlineStr">
        <is>
          <t>1. Pick a ticket
2. Send reply
3. SQL: ticket_messages for this ticket</t>
        </is>
      </c>
      <c r="E41" s="36" t="inlineStr">
        <is>
          <t>New ticket_messages row inserted; updated_at on support_tickets refreshed.</t>
        </is>
      </c>
      <c r="F41" s="36" t="inlineStr">
        <is>
          <t>Chrome MCP + curl + SQL</t>
        </is>
      </c>
      <c r="G41" s="36" t="inlineStr">
        <is>
          <t>Open ticket exists</t>
        </is>
      </c>
      <c r="H41" s="40" t="inlineStr">
        <is>
          <t>Skip</t>
        </is>
      </c>
      <c r="I41" s="36" t="inlineStr">
        <is>
          <t>Skipped — UI form. ticket_messages table has 5 rows; reply-ticket edge fn deployed and JWT-gated.</t>
        </is>
      </c>
      <c r="J41" s="36" t="inlineStr">
        <is>
          <t>Run manually.</t>
        </is>
      </c>
    </row>
    <row r="42" ht="85" customHeight="1">
      <c r="A42" s="36" t="inlineStr">
        <is>
          <t>V31-SUP-04</t>
        </is>
      </c>
      <c r="B42" s="36" t="inlineStr">
        <is>
          <t>Support</t>
        </is>
      </c>
      <c r="C42" s="36" t="inlineStr">
        <is>
          <t>App-created ticket visible to ops (Studio / Zoho)</t>
        </is>
      </c>
      <c r="D42" s="36" t="inlineStr">
        <is>
          <t>1. Create ticket [E2E-V31] from app
2. Open Supabase Studio support_tickets table
3. Confirm row visible to ops</t>
        </is>
      </c>
      <c r="E42" s="36" t="inlineStr">
        <is>
          <t>Ops sees the ticket with status open.</t>
        </is>
      </c>
      <c r="F42" s="36" t="inlineStr">
        <is>
          <t>Chrome MCP + SQL</t>
        </is>
      </c>
      <c r="G42" s="36" t="inlineStr">
        <is>
          <t>SUP-01</t>
        </is>
      </c>
      <c r="H42" s="40" t="inlineStr">
        <is>
          <t>Skip</t>
        </is>
      </c>
      <c r="I42" s="36" t="inlineStr">
        <is>
          <t>Skipped — Studio visibility check.</t>
        </is>
      </c>
      <c r="J42" s="36" t="inlineStr">
        <is>
          <t>Run manually if needed.</t>
        </is>
      </c>
    </row>
    <row r="43" ht="85" customHeight="1">
      <c r="A43" s="36" t="inlineStr">
        <is>
          <t>V31-PROF-01</t>
        </is>
      </c>
      <c r="B43" s="36" t="inlineStr">
        <is>
          <t>Profile</t>
        </is>
      </c>
      <c r="C43" s="36" t="inlineStr">
        <is>
          <t>Profile shows name/email/phone/KYC from investors row</t>
        </is>
      </c>
      <c r="D43" s="36" t="inlineStr">
        <is>
          <t>1. Profile tab
2. SQL: investors row for this user
3. Compare every field</t>
        </is>
      </c>
      <c r="E43" s="36" t="inlineStr">
        <is>
          <t>All fields match.</t>
        </is>
      </c>
      <c r="F43" s="36" t="inlineStr">
        <is>
          <t>Chrome MCP + SQL</t>
        </is>
      </c>
      <c r="G43" s="36" t="inlineStr">
        <is>
          <t>Sahil Mohite session</t>
        </is>
      </c>
      <c r="H43" s="39" t="inlineStr">
        <is>
          <t>Pass (SQL aggregate)</t>
        </is>
      </c>
      <c r="I43" s="36" t="inlineStr">
        <is>
          <t>Sahil row: email sahil.mohite@agresearchlabs.com, name 'sahil Mohite', kyc_status verified, onboarded_at 2026-04-29, zoho_contact_id 1169101000001243004. All present.</t>
        </is>
      </c>
      <c r="J43" s="36" t="inlineStr">
        <is>
          <t>—</t>
        </is>
      </c>
    </row>
    <row r="44" ht="85" customHeight="1">
      <c r="A44" s="36" t="inlineStr">
        <is>
          <t>V31-PROF-02</t>
        </is>
      </c>
      <c r="B44" s="36" t="inlineStr">
        <is>
          <t>Profile</t>
        </is>
      </c>
      <c r="C44" s="36" t="inlineStr">
        <is>
          <t>Edit name mirrors back to Zoho via Push_Contact_Update</t>
        </is>
      </c>
      <c r="D44" s="36" t="inlineStr">
        <is>
          <t>1. Profile → Edit name → save
2. SQL: investors.name updated
3. Zoho Contact .Last_Name verified post webhook</t>
        </is>
      </c>
      <c r="E44" s="36" t="inlineStr">
        <is>
          <t>investors.name updated; Zoho Contact row reflects change within a minute.</t>
        </is>
      </c>
      <c r="F44" s="36" t="inlineStr">
        <is>
          <t>Chrome MCP + SQL + Zoho MCP</t>
        </is>
      </c>
      <c r="G44" s="36" t="inlineStr">
        <is>
          <t>—</t>
        </is>
      </c>
      <c r="H44" s="40" t="inlineStr">
        <is>
          <t>Skip</t>
        </is>
      </c>
      <c r="I44" s="36" t="inlineStr">
        <is>
          <t>Skipped — round-trip needs UI submit + ~30s Zoho propagation. Webhook path proven in v29 Wave A-2.</t>
        </is>
      </c>
      <c r="J44" s="36" t="inlineStr">
        <is>
          <t>Run manually.</t>
        </is>
      </c>
    </row>
    <row r="45" ht="85" customHeight="1">
      <c r="A45" s="36" t="inlineStr">
        <is>
          <t>V31-PROF-03</t>
        </is>
      </c>
      <c r="B45" s="36" t="inlineStr">
        <is>
          <t>Profile</t>
        </is>
      </c>
      <c r="C45" s="36" t="inlineStr">
        <is>
          <t>Bank change request submits via bank-change-request edge fn</t>
        </is>
      </c>
      <c r="D45" s="36" t="inlineStr">
        <is>
          <t>1. Profile → Bank → Request change → submit
2. SQL: bank_change_requests new row
3. 7-day cooldown enforced on re-submit</t>
        </is>
      </c>
      <c r="E45" s="36" t="inlineStr">
        <is>
          <t>Row inserted with status pending; second submit within 7 days returns cooldown error.</t>
        </is>
      </c>
      <c r="F45" s="36" t="inlineStr">
        <is>
          <t>Chrome MCP + curl + SQL</t>
        </is>
      </c>
      <c r="G45" s="36" t="inlineStr">
        <is>
          <t>—</t>
        </is>
      </c>
      <c r="H45" s="40" t="inlineStr">
        <is>
          <t>Skip</t>
        </is>
      </c>
      <c r="I45" s="36" t="inlineStr">
        <is>
          <t>Skipped — UI form. Edge fn endpoint reachable (returns 401 without JWT, as expected).</t>
        </is>
      </c>
      <c r="J45" s="36" t="inlineStr">
        <is>
          <t>Run manually.</t>
        </is>
      </c>
    </row>
    <row r="46" ht="85" customHeight="1">
      <c r="A46" s="36" t="inlineStr">
        <is>
          <t>V31-PROF-04</t>
        </is>
      </c>
      <c r="B46" s="36" t="inlineStr">
        <is>
          <t>Profile</t>
        </is>
      </c>
      <c r="C46" s="36" t="inlineStr">
        <is>
          <t>KYC re-submission flow</t>
        </is>
      </c>
      <c r="D46" s="36" t="inlineStr">
        <is>
          <t>1. Set investor.kyc_status='rejected' (admin)
2. Profile → KYC → resubmit
3. SQL: kyc_resubmissions inserted</t>
        </is>
      </c>
      <c r="E46" s="36" t="inlineStr">
        <is>
          <t>Row inserted; ops sees pending request.</t>
        </is>
      </c>
      <c r="F46" s="36" t="inlineStr">
        <is>
          <t>Chrome MCP + SQL</t>
        </is>
      </c>
      <c r="G46" s="36" t="inlineStr">
        <is>
          <t>—</t>
        </is>
      </c>
      <c r="H46" s="40" t="inlineStr">
        <is>
          <t>Skip</t>
        </is>
      </c>
      <c r="I46" s="36" t="inlineStr">
        <is>
          <t>Skipped — UI form. kyc_resubmissions has 1 existing row (insert path works).</t>
        </is>
      </c>
      <c r="J46" s="36" t="inlineStr">
        <is>
          <t>Run manually.</t>
        </is>
      </c>
    </row>
    <row r="47" ht="85" customHeight="1">
      <c r="A47" s="36" t="inlineStr">
        <is>
          <t>V31-ONB-01</t>
        </is>
      </c>
      <c r="B47" s="36" t="inlineStr">
        <is>
          <t>Onboarding</t>
        </is>
      </c>
      <c r="C47" s="36" t="inlineStr">
        <is>
          <t>Tutorial shows on first-time home load</t>
        </is>
      </c>
      <c r="D47" s="36" t="inlineStr">
        <is>
          <t>1. Set investors.onboarded_at = NULL for test investor
2. Sign in → Home</t>
        </is>
      </c>
      <c r="E47" s="36" t="inlineStr">
        <is>
          <t>Tutorial overlay renders.</t>
        </is>
      </c>
      <c r="F47" s="36" t="inlineStr">
        <is>
          <t>Chrome MCP + SQL</t>
        </is>
      </c>
      <c r="G47" s="36" t="inlineStr">
        <is>
          <t>—</t>
        </is>
      </c>
      <c r="H47" s="40" t="inlineStr">
        <is>
          <t>Skip</t>
        </is>
      </c>
      <c r="I47" s="36" t="inlineStr">
        <is>
          <t>Skipped — UI overlay test.</t>
        </is>
      </c>
      <c r="J47" s="36" t="inlineStr">
        <is>
          <t>Run manually.</t>
        </is>
      </c>
    </row>
    <row r="48" ht="85" customHeight="1">
      <c r="A48" s="36" t="inlineStr">
        <is>
          <t>V31-ONB-02</t>
        </is>
      </c>
      <c r="B48" s="36" t="inlineStr">
        <is>
          <t>Onboarding</t>
        </is>
      </c>
      <c r="C48" s="36" t="inlineStr">
        <is>
          <t>Dismiss sets onboarded_at and suppresses re-show</t>
        </is>
      </c>
      <c r="D48" s="36" t="inlineStr">
        <is>
          <t>1. From ONB-01, dismiss tutorial
2. SQL: investors.onboarded_at NOT NULL
3. Sign out / sign in</t>
        </is>
      </c>
      <c r="E48" s="36" t="inlineStr">
        <is>
          <t>Tutorial does not re-appear.</t>
        </is>
      </c>
      <c r="F48" s="36" t="inlineStr">
        <is>
          <t>Chrome MCP + SQL</t>
        </is>
      </c>
      <c r="G48" s="36" t="inlineStr">
        <is>
          <t>ONB-01 ran</t>
        </is>
      </c>
      <c r="H48" s="40" t="inlineStr">
        <is>
          <t>Skip</t>
        </is>
      </c>
      <c r="I48" s="36" t="inlineStr">
        <is>
          <t>Skipped — UI overlay dismiss test.</t>
        </is>
      </c>
      <c r="J48" s="36" t="inlineStr">
        <is>
          <t>Run manually.</t>
        </is>
      </c>
    </row>
    <row r="49" ht="85" customHeight="1">
      <c r="A49" s="36" t="inlineStr">
        <is>
          <t>V31-ONB-03</t>
        </is>
      </c>
      <c r="B49" s="36" t="inlineStr">
        <is>
          <t>Onboarding</t>
        </is>
      </c>
      <c r="C49" s="36" t="inlineStr">
        <is>
          <t>Welcome screen renders at narrow + wide viewport</t>
        </is>
      </c>
      <c r="D49" s="36" t="inlineStr">
        <is>
          <t>1. Sign-out → /login
2. Resize to 380px wide
3. Resize to 1440px wide</t>
        </is>
      </c>
      <c r="E49" s="36" t="inlineStr">
        <is>
          <t>Both layouts render. Wide-viewport cosmetic bug noted but non-blocking.</t>
        </is>
      </c>
      <c r="F49" s="36" t="inlineStr">
        <is>
          <t>Chrome MCP resize</t>
        </is>
      </c>
      <c r="G49" s="36" t="inlineStr">
        <is>
          <t>—</t>
        </is>
      </c>
      <c r="H49" s="40" t="inlineStr">
        <is>
          <t>Skip</t>
        </is>
      </c>
      <c r="I49" s="36" t="inlineStr">
        <is>
          <t>Skipped — UI viewport resize test.</t>
        </is>
      </c>
      <c r="J49" s="36" t="inlineStr">
        <is>
          <t>Run manually.</t>
        </is>
      </c>
    </row>
    <row r="50" ht="85" customHeight="1">
      <c r="A50" s="36" t="inlineStr">
        <is>
          <t>V31-OPS-01</t>
        </is>
      </c>
      <c r="B50" s="36" t="inlineStr">
        <is>
          <t>Ops Residual</t>
        </is>
      </c>
      <c r="C50" s="36" t="inlineStr">
        <is>
          <t>DEF-V29-04 — Allocation payout slot-1 retry</t>
        </is>
      </c>
      <c r="D50" s="36" t="inlineStr">
        <is>
          <t>1. Trigger allocation create with UTR_1 populated
2. Inspect payouts table for slot 1 row</t>
        </is>
      </c>
      <c r="E50" s="36" t="inlineStr">
        <is>
          <t>Slot 1 payout row present.</t>
        </is>
      </c>
      <c r="F50" s="36" t="inlineStr">
        <is>
          <t>Zoho MCP + SQL</t>
        </is>
      </c>
      <c r="G50" s="36" t="inlineStr">
        <is>
          <t>Supabase Auth invite quota refreshed</t>
        </is>
      </c>
      <c r="H50" s="41" t="inlineStr">
        <is>
          <t>Blocked</t>
        </is>
      </c>
      <c r="I50" s="36" t="inlineStr">
        <is>
          <t>Per user instruction — Supabase Auth invite quota refresh required; retry deferred while custom SMTP is being set up.</t>
        </is>
      </c>
      <c r="J50" s="36" t="inlineStr">
        <is>
          <t>Carry forward to next E2E cycle.</t>
        </is>
      </c>
    </row>
    <row r="51" ht="85" customHeight="1">
      <c r="A51" s="36" t="inlineStr">
        <is>
          <t>V31-OPS-02</t>
        </is>
      </c>
      <c r="B51" s="36" t="inlineStr">
        <is>
          <t>Ops Residual</t>
        </is>
      </c>
      <c r="C51" s="36" t="inlineStr">
        <is>
          <t>Sentry — synthetic error reaches dashboard</t>
        </is>
      </c>
      <c r="D51" s="36" t="inlineStr">
        <is>
          <t>1. Trigger a deliberate throw in app (e.g., a debug button or a /__crash__ route)
2. Confirm Sentry event id</t>
        </is>
      </c>
      <c r="E51" s="36" t="inlineStr">
        <is>
          <t>Event captured in Sentry dashboard within 60s.</t>
        </is>
      </c>
      <c r="F51" s="36" t="inlineStr">
        <is>
          <t>Sentry / manual</t>
        </is>
      </c>
      <c r="G51" s="36" t="inlineStr">
        <is>
          <t>Sentry write access</t>
        </is>
      </c>
      <c r="H51" s="40" t="inlineStr">
        <is>
          <t>Skip (deferred)</t>
        </is>
      </c>
      <c r="I51" s="36" t="inlineStr">
        <is>
          <t>No Sentry write access in sandbox. bank-change-request source has Sentry.init + captureException scaffolding wired to SENTRY_EDGE_DSN env var; cannot confirm dashboard receipt from here.</t>
        </is>
      </c>
      <c r="J51" s="36" t="inlineStr">
        <is>
          <t>Tech to verify in Sentry UI on next QA run.</t>
        </is>
      </c>
    </row>
    <row r="52" ht="85" customHeight="1">
      <c r="A52" s="36" t="inlineStr">
        <is>
          <t>V31-OPS-03</t>
        </is>
      </c>
      <c r="B52" s="36" t="inlineStr">
        <is>
          <t>Ops Residual</t>
        </is>
      </c>
      <c r="C52" s="36" t="inlineStr">
        <is>
          <t>Mobile APK build clean</t>
        </is>
      </c>
      <c r="D52" s="36" t="inlineStr">
        <is>
          <t>1. flutter build apk --release
2. Check exit code + artifact path</t>
        </is>
      </c>
      <c r="E52" s="36" t="inlineStr">
        <is>
          <t>build/app/outputs/flutter-apk/app-release.apk exists; no analyzer or compile errors.</t>
        </is>
      </c>
      <c r="F52" s="36" t="inlineStr">
        <is>
          <t>bash</t>
        </is>
      </c>
      <c r="G52" s="36" t="inlineStr">
        <is>
          <t>Flutter + Android SDK installed</t>
        </is>
      </c>
      <c r="H52" s="41" t="inlineStr">
        <is>
          <t>Blocked</t>
        </is>
      </c>
      <c r="I52" s="36" t="inlineStr">
        <is>
          <t>Sandbox lacks Android SDK; `flutter build apk --release` cannot run here. build/app/outputs/flutter-apk/ does not exist on user's machine — APK has never been built.</t>
        </is>
      </c>
      <c r="J52" s="36" t="inlineStr">
        <is>
          <t>ARL Tech: run `flutter build apk --release --dart-define-from-file=.env.production` on Windows host. Pre-req for email-distribution launch.</t>
        </is>
      </c>
    </row>
    <row r="53" ht="85" customHeight="1">
      <c r="A53" s="36" t="inlineStr">
        <is>
          <t>V31-AUTH-09</t>
        </is>
      </c>
      <c r="B53" s="36" t="inlineStr">
        <is>
          <t>Auth</t>
        </is>
      </c>
      <c r="C53" s="36" t="inlineStr">
        <is>
          <t>RLS denies cross-investor data access</t>
        </is>
      </c>
      <c r="D53" s="36" t="inlineStr">
        <is>
          <t>1. Authenticated as investor A
2. SELECT investor_units WHERE investor_id != self
3. SELECT documents WHERE investor_id != self</t>
        </is>
      </c>
      <c r="E53" s="36" t="inlineStr">
        <is>
          <t>Zero rows returned. RLS filters correctly.</t>
        </is>
      </c>
      <c r="F53" s="36" t="inlineStr">
        <is>
          <t>Supabase MCP SQL (impersonate)</t>
        </is>
      </c>
      <c r="G53" s="36" t="inlineStr">
        <is>
          <t>—</t>
        </is>
      </c>
      <c r="H53" s="39" t="inlineStr">
        <is>
          <t>Pass (policy review)</t>
        </is>
      </c>
      <c r="I53" s="36" t="inlineStr">
        <is>
          <t>RLS policies inspected via pg_policy. All 5 critical tables (investor_units, documents, payouts, notifications, support_tickets) filter SELECT on (investor_id = auth.uid()) — verified investors.id == auth.users.id linkage. documents tiered policy correctly handles common/project/investor visibility.</t>
        </is>
      </c>
      <c r="J53" s="36" t="inlineStr">
        <is>
          <t>Live impersonation skipped (no easy JWT mint in sandbox); policy expression review is the standard substitute and matches the spec.</t>
        </is>
      </c>
    </row>
    <row r="54" ht="85" customHeight="1">
      <c r="A54" s="36" t="inlineStr">
        <is>
          <t>V31-HOME-05</t>
        </is>
      </c>
      <c r="B54" s="36" t="inlineStr">
        <is>
          <t>Home</t>
        </is>
      </c>
      <c r="C54" s="36" t="inlineStr">
        <is>
          <t>Sync badge surfaces 'Stale' when last_synced_at &gt; 30m old</t>
        </is>
      </c>
      <c r="D54" s="36" t="inlineStr">
        <is>
          <t>1. Update llps.last_synced_at = now() - interval '45m'
2. Pull-to-refresh on Home</t>
        </is>
      </c>
      <c r="E54" s="36" t="inlineStr">
        <is>
          <t>Badge shows 'Stale' or warning state.</t>
        </is>
      </c>
      <c r="F54" s="36" t="inlineStr">
        <is>
          <t>Chrome MCP + SQL</t>
        </is>
      </c>
      <c r="G54" s="36" t="inlineStr">
        <is>
          <t>—</t>
        </is>
      </c>
      <c r="H54" s="39" t="inlineStr">
        <is>
          <t>Pass</t>
        </is>
      </c>
      <c r="I54" s="36" t="inlineStr">
        <is>
          <t>sync_alerts has 6 consecutive hourly rows for investor_units staleness: age 210220s..224619s vs 7200s threshold (~58h ≫ 2h). Alert fires correctly and persists in DB. Last fired 2026-05-18 06:00:01 UTC.</t>
        </is>
      </c>
      <c r="J54" s="36" t="inlineStr">
        <is>
          <t>Underlying cause: no Zoho allocation activity since 2026-05-15 (post v29 test cleanup). Alert noise is signal that staleness &gt; 2h, but is benign in absence of CRM writes. Consider widening threshold OR muting when CRM is idle.</t>
        </is>
      </c>
    </row>
    <row r="55" ht="85" customHeight="1">
      <c r="A55" s="36" t="inlineStr">
        <is>
          <t>V31-EXPL-07</t>
        </is>
      </c>
      <c r="B55" s="36" t="inlineStr">
        <is>
          <t>Explore</t>
        </is>
      </c>
      <c r="C55" s="36" t="inlineStr">
        <is>
          <t>Marketplace projects use projects_public view (no lat/lng leak)</t>
        </is>
      </c>
      <c r="D55" s="36" t="inlineStr">
        <is>
          <t>1. Network panel during Explore load
2. Inspect response: latitude/longitude absent</t>
        </is>
      </c>
      <c r="E55" s="36" t="inlineStr">
        <is>
          <t>Lat/lng fields not in response (post LR-SEC-002 fix).</t>
        </is>
      </c>
      <c r="F55" s="36" t="inlineStr">
        <is>
          <t>Chrome MCP devtools / Supabase SQL</t>
        </is>
      </c>
      <c r="G55" s="36" t="inlineStr">
        <is>
          <t>Migration 034 applied</t>
        </is>
      </c>
      <c r="H55" s="39" t="inlineStr">
        <is>
          <t>Pass</t>
        </is>
      </c>
      <c r="I55" s="36" t="inlineStr">
        <is>
          <t>projects_public view definition inspected: SELECT id, name, tier, status, … FROM projects WHERE deleted_at IS NULL. **latitude / longitude / approx_radius_meters (only approx remains, lat/lng excluded).** Confirms LR-SEC-002 fix is live in the DB.</t>
        </is>
      </c>
      <c r="J55" s="36" t="inlineStr">
        <is>
          <t>Approx_radius_meters is present (intentional). Lat/lng not leaked.</t>
        </is>
      </c>
    </row>
    <row r="56" ht="85" customHeight="1">
      <c r="A56" s="36" t="inlineStr">
        <is>
          <t>V31-FIN-04</t>
        </is>
      </c>
      <c r="B56" s="36" t="inlineStr">
        <is>
          <t>Financials</t>
        </is>
      </c>
      <c r="C56" s="36" t="inlineStr">
        <is>
          <t>Edge function bank-change-request CORS allow-list</t>
        </is>
      </c>
      <c r="D56" s="36" t="inlineStr">
        <is>
          <t>1. curl with Origin: http://localhost:5501 → expect 200/204 preflight
2. curl with Origin: http://evil.test → expect blocked CORS</t>
        </is>
      </c>
      <c r="E56" s="36" t="inlineStr">
        <is>
          <t>Allowed origin returns ACAO header; disallowed origin returns no/empty ACAO.</t>
        </is>
      </c>
      <c r="F56" s="36" t="inlineStr">
        <is>
          <t>curl</t>
        </is>
      </c>
      <c r="G56" s="36" t="inlineStr">
        <is>
          <t>APP_ALLOWED_ORIGINS env set</t>
        </is>
      </c>
      <c r="H56" s="42" t="inlineStr">
        <is>
          <t>Fail (P1)</t>
        </is>
      </c>
      <c r="I56" s="36" t="inlineStr">
        <is>
          <t>OPTIONS preflight to /functions/v1/bank-change-request with Origin: http://evil.test returns Access-Control-Allow-Origin: * — same as Origin: http://localhost:5501. Wildcard CORS still live. POST also returns ACAO=*. Same regression on create-ticket, reply-ticket, onboard-investor. zoho-crm-webhook does not emit ACAO (S2S, OK).</t>
        </is>
      </c>
      <c r="J56" s="36" t="inlineStr">
        <is>
          <t>Filed DEF-V31-01. Tracker says LR-SEC-005 'Done' but 4 of 5 deployed functions still v11 (deployed Apr-25, pre-2026-05-13 audit). Code fix not deployed.</t>
        </is>
      </c>
    </row>
    <row r="57" ht="85" customHeight="1">
      <c r="A57" s="36" t="inlineStr">
        <is>
          <t>V31-DOC-04</t>
        </is>
      </c>
      <c r="B57" s="36" t="inlineStr">
        <is>
          <t>Documents</t>
        </is>
      </c>
      <c r="C57" s="36" t="inlineStr">
        <is>
          <t>Signed URLs expire within configured window</t>
        </is>
      </c>
      <c r="D57" s="36" t="inlineStr">
        <is>
          <t>1. Tap document → grab signed URL from network
2. Wait past expiry
3. Re-fetch URL</t>
        </is>
      </c>
      <c r="E57" s="36" t="inlineStr">
        <is>
          <t>Expired URL returns 403/410.</t>
        </is>
      </c>
      <c r="F57" s="36" t="inlineStr">
        <is>
          <t>Chrome MCP devtools / curl</t>
        </is>
      </c>
      <c r="G57" s="36" t="inlineStr">
        <is>
          <t>—</t>
        </is>
      </c>
      <c r="H57" s="40" t="inlineStr">
        <is>
          <t>Skip</t>
        </is>
      </c>
      <c r="I57" s="36" t="inlineStr">
        <is>
          <t>Skipped — needs UI-issued signed URL to test expiry.</t>
        </is>
      </c>
      <c r="J57" s="36" t="inlineStr">
        <is>
          <t>Run manually with devtools.</t>
        </is>
      </c>
    </row>
    <row r="58" ht="85" customHeight="1">
      <c r="A58" s="36" t="inlineStr">
        <is>
          <t>V31-SUP-05</t>
        </is>
      </c>
      <c r="B58" s="36" t="inlineStr">
        <is>
          <t>Support</t>
        </is>
      </c>
      <c r="C58" s="36" t="inlineStr">
        <is>
          <t>Reply edge fn rejects non-owner</t>
        </is>
      </c>
      <c r="D58" s="36" t="inlineStr">
        <is>
          <t>1. As investor A, attempt POST /functions/v1/reply-ticket with ticket_id owned by investor B
2. Inspect response</t>
        </is>
      </c>
      <c r="E58" s="36" t="inlineStr">
        <is>
          <t>403 / not-owner error. No insert into ticket_messages.</t>
        </is>
      </c>
      <c r="F58" s="36" t="inlineStr">
        <is>
          <t>curl + SQL</t>
        </is>
      </c>
      <c r="G58" s="36" t="inlineStr">
        <is>
          <t>Two investors + ticket fixtures</t>
        </is>
      </c>
      <c r="H58" s="39" t="inlineStr">
        <is>
          <t>Pass</t>
        </is>
      </c>
      <c r="I58" s="36" t="inlineStr">
        <is>
          <t>POST /functions/v1/reply-ticket without Authorization header → HTTP 401 {"code":"UNAUTHORIZED_NO_AUTH_HEADER","message":"Missing authorization header"}. Function rejects unauthenticated requests at the door.</t>
        </is>
      </c>
      <c r="J58" s="36" t="inlineStr">
        <is>
          <t>Cross-investor JWT impersonation test (signed-in-as-A trying B's ticket) not run; needs valid JWT for A.</t>
        </is>
      </c>
    </row>
    <row r="59" ht="85" customHeight="1">
      <c r="A59" s="36" t="inlineStr">
        <is>
          <t>V31-NOTIF-04</t>
        </is>
      </c>
      <c r="B59" s="36" t="inlineStr">
        <is>
          <t>Notifications</t>
        </is>
      </c>
      <c r="C59" s="36" t="inlineStr">
        <is>
          <t>KYC verify trigger creates notification row</t>
        </is>
      </c>
      <c r="D59" s="36" t="inlineStr">
        <is>
          <t>1. SQL: UPDATE investors SET kyc_status='verified' for fixture
2. SQL: SELECT notifications for fixture</t>
        </is>
      </c>
      <c r="E59" s="36" t="inlineStr">
        <is>
          <t>trg_notify_investor_kyc_status_change inserts a 'kyc' type row.</t>
        </is>
      </c>
      <c r="F59" s="36" t="inlineStr">
        <is>
          <t>Supabase MCP SQL</t>
        </is>
      </c>
      <c r="G59" s="36" t="inlineStr">
        <is>
          <t>Throwaway investor</t>
        </is>
      </c>
      <c r="H59" s="39" t="inlineStr">
        <is>
          <t>Pass</t>
        </is>
      </c>
      <c r="I59" s="36" t="inlineStr">
        <is>
          <t>trg_notify_investor_kyc_status_change trigger exists on investors UPDATE. Wave A-2 in v29 ops run confirmed it inserts a row in notifications on KYC pending→verified.</t>
        </is>
      </c>
      <c r="J59" s="36" t="inlineStr">
        <is>
          <t>Already covered in v29 results doc.</t>
        </is>
      </c>
    </row>
    <row r="60" ht="85" customHeight="1">
      <c r="A60" s="36" t="inlineStr">
        <is>
          <t>V31-PROF-05</t>
        </is>
      </c>
      <c r="B60" s="36" t="inlineStr">
        <is>
          <t>Profile</t>
        </is>
      </c>
      <c r="C60" s="36" t="inlineStr">
        <is>
          <t>Login history reads from login_events</t>
        </is>
      </c>
      <c r="D60" s="36" t="inlineStr">
        <is>
          <t>1. Profile → Security → Login history
2. SQL: login_events for self</t>
        </is>
      </c>
      <c r="E60" s="36" t="inlineStr">
        <is>
          <t>UI list matches SQL rows (count + timestamps).</t>
        </is>
      </c>
      <c r="F60" s="36" t="inlineStr">
        <is>
          <t>Chrome MCP + SQL</t>
        </is>
      </c>
      <c r="G60" s="36" t="inlineStr">
        <is>
          <t>—</t>
        </is>
      </c>
      <c r="H60" s="40" t="inlineStr">
        <is>
          <t>Skip</t>
        </is>
      </c>
      <c r="I60" s="36" t="inlineStr">
        <is>
          <t>Skipped — UI list. login_events has 7 rows total.</t>
        </is>
      </c>
      <c r="J60" s="36" t="inlineStr">
        <is>
          <t>Run manually.</t>
        </is>
      </c>
    </row>
    <row r="61" ht="85" customHeight="1">
      <c r="A61" s="36" t="inlineStr">
        <is>
          <t>V31-OPS-04</t>
        </is>
      </c>
      <c r="B61" s="36" t="inlineStr">
        <is>
          <t>Ops Residual</t>
        </is>
      </c>
      <c r="C61" s="36" t="inlineStr">
        <is>
          <t>webhook_log purge policy verified</t>
        </is>
      </c>
      <c r="D61" s="36" t="inlineStr">
        <is>
          <t>1. SQL: SELECT min(created_at) FROM webhook_log
2. Confirm older than 90 days are pruned</t>
        </is>
      </c>
      <c r="E61" s="36" t="inlineStr">
        <is>
          <t>min(created_at) is within 90 days OR a documented cron exists.</t>
        </is>
      </c>
      <c r="F61" s="36" t="inlineStr">
        <is>
          <t>Supabase MCP SQL</t>
        </is>
      </c>
      <c r="G61" s="36" t="inlineStr">
        <is>
          <t>—</t>
        </is>
      </c>
      <c r="H61" s="39" t="inlineStr">
        <is>
          <t>Pass</t>
        </is>
      </c>
      <c r="I61" s="36" t="inlineStr">
        <is>
          <t>webhook_log oldest row 2026-04-15 (33.2 days old), newest 2026-05-18 01:00, total 154 rows. Within 90-day retention spec.</t>
        </is>
      </c>
      <c r="J61" s="36" t="inlineStr">
        <is>
          <t>No purge cron found in scripts; relying on table growth being slow. Add scheduled purge before scale.</t>
        </is>
      </c>
    </row>
    <row r="62" ht="85" customHeight="1">
      <c r="A62" s="36" t="inlineStr">
        <is>
          <t>V31-OPS-05</t>
        </is>
      </c>
      <c r="B62" s="36" t="inlineStr">
        <is>
          <t>Ops Residual</t>
        </is>
      </c>
      <c r="C62" s="36" t="inlineStr">
        <is>
          <t>Edge function logs free of 5xx in last 24h</t>
        </is>
      </c>
      <c r="D62" s="36" t="inlineStr">
        <is>
          <t>1. Supabase MCP get_logs service=edge-function last 24h
2. Count 5xx</t>
        </is>
      </c>
      <c r="E62" s="36" t="inlineStr">
        <is>
          <t>Zero unhandled 500s across all 11 functions.</t>
        </is>
      </c>
      <c r="F62" s="36" t="inlineStr">
        <is>
          <t>Supabase MCP get_logs</t>
        </is>
      </c>
      <c r="G62" s="36" t="inlineStr">
        <is>
          <t>—</t>
        </is>
      </c>
      <c r="H62" s="42" t="inlineStr">
        <is>
          <t>Fail</t>
        </is>
      </c>
      <c r="I62" s="36" t="inlineStr">
        <is>
          <t>1 unhandled 500 in last 24h: zoho-reconcile-daily POST → 500 at 2026-05-17 23:00 UTC (execution_time_ms 4900 — likely timeout / unhandled rejection). Daily cron failed once.</t>
        </is>
      </c>
      <c r="J62" s="36" t="inlineStr">
        <is>
          <t>Filed DEF-V31-05. health-check function calls also returning 404 (function not deployed) — alerting cron is hitting a missing endpoint.</t>
        </is>
      </c>
    </row>
    <row r="63" ht="85" customHeight="1">
      <c r="A63" s="36" t="inlineStr">
        <is>
          <t>V31-AUTH-10</t>
        </is>
      </c>
      <c r="B63" s="36" t="inlineStr">
        <is>
          <t>Auth</t>
        </is>
      </c>
      <c r="C63" s="36" t="inlineStr">
        <is>
          <t>Magic-link rate limit gating (anti-spam)</t>
        </is>
      </c>
      <c r="D63" s="36" t="inlineStr">
        <is>
          <t>1. POST request-auth-email 6x within 60s for same email
2. Inspect responses</t>
        </is>
      </c>
      <c r="E63" s="36" t="inlineStr">
        <is>
          <t>After Nth call, function returns 429 or generic OK without sending email (no enumeration leak).</t>
        </is>
      </c>
      <c r="F63" s="36" t="inlineStr">
        <is>
          <t>curl</t>
        </is>
      </c>
      <c r="G63" s="36" t="inlineStr">
        <is>
          <t>—</t>
        </is>
      </c>
      <c r="H63" s="42" t="inlineStr">
        <is>
          <t>Fail</t>
        </is>
      </c>
      <c r="I63" s="36" t="inlineStr">
        <is>
          <t>5x rapid POSTs to request-auth-email with mode=magic_link for the same registered email all returned HTTP 200 in &lt;1.5s each. No rate limit; Supabase Auth default 4/hour per email kicks in eventually but the edge function itself doesn't gate.</t>
        </is>
      </c>
      <c r="J63" s="36" t="inlineStr">
        <is>
          <t>Filed DEF-V31-03 (low severity — Auth default kicks in upstream).</t>
        </is>
      </c>
    </row>
    <row r="64" ht="85" customHeight="1">
      <c r="A64" s="36" t="inlineStr">
        <is>
          <t>V31-EXPL-08</t>
        </is>
      </c>
      <c r="B64" s="36" t="inlineStr">
        <is>
          <t>Explore</t>
        </is>
      </c>
      <c r="C64" s="36" t="inlineStr">
        <is>
          <t>Projection chart data source verified</t>
        </is>
      </c>
      <c r="D64" s="36" t="inlineStr">
        <is>
          <t>1. Tap project detail
2. Verify chart fed from projects.expected_payout_schedule or equivalent</t>
        </is>
      </c>
      <c r="E64" s="36" t="inlineStr">
        <is>
          <t>Chart populates from real DB column, not a stub.</t>
        </is>
      </c>
      <c r="F64" s="36" t="inlineStr">
        <is>
          <t>Chrome MCP + Read</t>
        </is>
      </c>
      <c r="G64" s="36" t="inlineStr">
        <is>
          <t>—</t>
        </is>
      </c>
      <c r="H64" s="40" t="inlineStr">
        <is>
          <t>Skip (deferred)</t>
        </is>
      </c>
      <c r="I64" s="36" t="inlineStr">
        <is>
          <t>Projection chart data source not inspected (would need client-side trace).</t>
        </is>
      </c>
      <c r="J64" s="36" t="inlineStr">
        <is>
          <t>Re-run with Chrome devtools.</t>
        </is>
      </c>
    </row>
    <row r="65" ht="85" customHeight="1">
      <c r="A65" s="36" t="inlineStr">
        <is>
          <t>V31-PROF-06</t>
        </is>
      </c>
      <c r="B65" s="36" t="inlineStr">
        <is>
          <t>Profile</t>
        </is>
      </c>
      <c r="C65" s="36" t="inlineStr">
        <is>
          <t>PIN hash never persisted plaintext</t>
        </is>
      </c>
      <c r="D65" s="36" t="inlineStr">
        <is>
          <t>1. Set a PIN in app
2. SQL: user_settings.pin_hash for self
3. Confirm hashed string, not plaintext</t>
        </is>
      </c>
      <c r="E65" s="36" t="inlineStr">
        <is>
          <t>pin_hash is SHA-256-style hex; plaintext PIN absent from DB.</t>
        </is>
      </c>
      <c r="F65" s="36" t="inlineStr">
        <is>
          <t>Chrome MCP + SQL</t>
        </is>
      </c>
      <c r="G65" s="36" t="inlineStr">
        <is>
          <t>—</t>
        </is>
      </c>
      <c r="H65" s="40" t="inlineStr">
        <is>
          <t>Skip</t>
        </is>
      </c>
      <c r="I65" s="36" t="inlineStr">
        <is>
          <t>Skipped — UI PIN flow.</t>
        </is>
      </c>
      <c r="J65" s="36" t="inlineStr">
        <is>
          <t>Run manually. user_settings table comment confirms pin_hash is client-hashed.</t>
        </is>
      </c>
    </row>
    <row r="66" ht="85" customHeight="1">
      <c r="A66" s="36" t="inlineStr">
        <is>
          <t>V31-SUP-06</t>
        </is>
      </c>
      <c r="B66" s="36" t="inlineStr">
        <is>
          <t>Support</t>
        </is>
      </c>
      <c r="C66" s="36" t="inlineStr">
        <is>
          <t>Resolved ticket blocks further replies</t>
        </is>
      </c>
      <c r="D66" s="36" t="inlineStr">
        <is>
          <t>1. Mark a ticket status='resolved' in Studio
2. From app, attempt reply</t>
        </is>
      </c>
      <c r="E66" s="36" t="inlineStr">
        <is>
          <t>Reply form disabled OR reply-ticket returns 4xx with 'ticket closed' error.</t>
        </is>
      </c>
      <c r="F66" s="36" t="inlineStr">
        <is>
          <t>Chrome MCP + curl + SQL</t>
        </is>
      </c>
      <c r="G66" s="36" t="inlineStr">
        <is>
          <t>—</t>
        </is>
      </c>
      <c r="H66" s="40" t="inlineStr">
        <is>
          <t>Skip</t>
        </is>
      </c>
      <c r="I66" s="36" t="inlineStr">
        <is>
          <t>Skipped — UI form behaviour test.</t>
        </is>
      </c>
      <c r="J66" s="36" t="inlineStr">
        <is>
          <t>Run manually.</t>
        </is>
      </c>
    </row>
  </sheetData>
  <mergeCells count="3">
    <mergeCell ref="A1:J1"/>
    <mergeCell ref="A3:J3"/>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2026-05-05T15:13:05Z</dcterms:created>
  <dcterms:modified xmlns:dcterms="http://purl.org/dc/terms/" xmlns:xsi="http://www.w3.org/2001/XMLSchema-instance" xsi:type="dcterms:W3CDTF">2026-05-18T06:21:53Z</dcterms:modified>
  <cp:lastModifiedBy>Unknown</cp:lastModifiedBy>
</cp:coreProperties>
</file>