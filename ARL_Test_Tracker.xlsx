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Dashboard" state="visible" r:id="rId4"/>
    <sheet sheetId="2" name="Fixture Spec" state="visible" r:id="rId5"/>
    <sheet sheetId="3" name="Scenarios" state="visible" r:id="rId6"/>
    <sheet sheetId="4" name="Test Cases" state="visible" r:id="rId7"/>
    <sheet sheetId="5" name="Daily UAT" state="visible" r:id="rId8"/>
    <sheet sheetId="6" name="Defects" state="visible" r:id="rId9"/>
    <sheet sheetId="7" name="Sign-off" state="visible" r:id="rId10"/>
    <sheet sheetId="8" name="Sync Coverage" state="visible" r:id="rId11"/>
    <sheet sheetId="9" name="Flutter Feature Audit" state="visible" r:id="rId12"/>
    <sheet sheetId="10" name="Launch Readiness" state="visible" r:id="rId13"/>
  </sheets>
  <calcPr calcId="171027"/>
</workbook>
</file>

<file path=xl/sharedStrings.xml><?xml version="1.0" encoding="utf-8"?>
<sst xmlns="http://schemas.openxmlformats.org/spreadsheetml/2006/main" count="2010" uniqueCount="912">
  <si>
    <t>Growize App — Test Execution Dashboard</t>
  </si>
  <si>
    <t>Owner: ARL Tech</t>
  </si>
  <si>
    <t>Cycle: Pre-launch 2026-05-05 + ongoing daily UAT (hybrid)</t>
  </si>
  <si>
    <t>Rule: CRM observed only. Demo records suffix '-demo'. Fixes go in Supabase / app / sync / RLS — never CRM.</t>
  </si>
  <si>
    <t>Execution Summary (manual weekly + pre-release pass)</t>
  </si>
  <si>
    <t>Metric</t>
  </si>
  <si>
    <t>Value</t>
  </si>
  <si>
    <t>Source</t>
  </si>
  <si>
    <t>Total test cases</t>
  </si>
  <si>
    <t>Count of TC IDs</t>
  </si>
  <si>
    <t>Executed</t>
  </si>
  <si>
    <t>Status not Not Run</t>
  </si>
  <si>
    <t>Passed</t>
  </si>
  <si>
    <t>Status = Pass</t>
  </si>
  <si>
    <t>Failed</t>
  </si>
  <si>
    <t>Status = Fail</t>
  </si>
  <si>
    <t>Blocked</t>
  </si>
  <si>
    <t>Status = Blocked</t>
  </si>
  <si>
    <t>N/A</t>
  </si>
  <si>
    <t>Status = N/A</t>
  </si>
  <si>
    <t>Not Run</t>
  </si>
  <si>
    <t>Remaining</t>
  </si>
  <si>
    <t>Pass rate</t>
  </si>
  <si>
    <t>Pass / (Pass + Fail)</t>
  </si>
  <si>
    <t>Open defects</t>
  </si>
  <si>
    <t>Defects sheet</t>
  </si>
  <si>
    <t>Critical (S1) open</t>
  </si>
  <si>
    <t>Severity S1, not closed</t>
  </si>
  <si>
    <t>High (S2) open</t>
  </si>
  <si>
    <t>Severity S2, not closed</t>
  </si>
  <si>
    <t>Defects closed</t>
  </si>
  <si>
    <t>Resolved</t>
  </si>
  <si>
    <t>Daily UAT (automated)</t>
  </si>
  <si>
    <t>Last run date</t>
  </si>
  <si>
    <t>Most recent run column header</t>
  </si>
  <si>
    <t>Last run pass rate</t>
  </si>
  <si>
    <t>Pass count / total</t>
  </si>
  <si>
    <t>Cases in daily set</t>
  </si>
  <si>
    <t>D-## rows</t>
  </si>
  <si>
    <t>Days run</t>
  </si>
  <si>
    <t>Date headers</t>
  </si>
  <si>
    <t>Coverage by area</t>
  </si>
  <si>
    <t>Area</t>
  </si>
  <si>
    <t>Total cases</t>
  </si>
  <si>
    <t>Pass</t>
  </si>
  <si>
    <t>Fail</t>
  </si>
  <si>
    <t>Pass %</t>
  </si>
  <si>
    <t>LLP</t>
  </si>
  <si>
    <t>PRJ</t>
  </si>
  <si>
    <t>INV</t>
  </si>
  <si>
    <t>ALC</t>
  </si>
  <si>
    <t>AUTH</t>
  </si>
  <si>
    <t>APP</t>
  </si>
  <si>
    <t>DOC</t>
  </si>
  <si>
    <t>EXIT</t>
  </si>
  <si>
    <t>SYNC</t>
  </si>
  <si>
    <t>RLS</t>
  </si>
  <si>
    <t>OBS</t>
  </si>
  <si>
    <t>NEG</t>
  </si>
  <si>
    <t>Notes</t>
  </si>
  <si>
    <t>1. CRM is observed only. Demo records have name suffix '-demo'. Never write to CRM during testing.</t>
  </si>
  <si>
    <t>2. Fixture Spec sheet is the bridge — fill CRM ID for each F-* row before running cases.</t>
  </si>
  <si>
    <t>3. Test Cases sheet = weekly/pre-release human pass. Daily UAT sheet = automated daily run.</t>
  </si>
  <si>
    <t>4. File defects in Defects sheet AND as docs/testing/defects/DEF-####.md.</t>
  </si>
  <si>
    <t>5. Layer dropdown excludes CRM (we do not test by writing to CRM).</t>
  </si>
  <si>
    <t>Fixture Spec — '-demo' records required in CRM</t>
  </si>
  <si>
    <t>Create these in Zoho CRM with name suffix '-demo'. Fill CRM ID and Supabase verification status.</t>
  </si>
  <si>
    <t>Fixture key</t>
  </si>
  <si>
    <t>Type</t>
  </si>
  <si>
    <t>Required attributes</t>
  </si>
  <si>
    <t>CRM ID (fill in)</t>
  </si>
  <si>
    <t>Verified in CRM</t>
  </si>
  <si>
    <t>Verified in Supabase</t>
  </si>
  <si>
    <t>F-LLP-A</t>
  </si>
  <si>
    <t>Active LLP with 2 child projects (1 Active, 1 Not Started)</t>
  </si>
  <si>
    <t>1169101000001433001</t>
  </si>
  <si>
    <t>Yes</t>
  </si>
  <si>
    <t>No</t>
  </si>
  <si>
    <t>F-LLP-B</t>
  </si>
  <si>
    <t>Active LLP with 1 active project, single allocated investor</t>
  </si>
  <si>
    <t>1169101000001433017</t>
  </si>
  <si>
    <t>F-LLP-C</t>
  </si>
  <si>
    <t>Active LLP with zero projects</t>
  </si>
  <si>
    <t>1169101000001439003</t>
  </si>
  <si>
    <t>F-LLP-A2</t>
  </si>
  <si>
    <t>LLP/project, status Open for Reservation (Not Started). 500 units, ₹20000/unit. Used by SC-ALC-002.</t>
  </si>
  <si>
    <t>1169101000001433016</t>
  </si>
  <si>
    <t>F-LLP-EXIT</t>
  </si>
  <si>
    <t>LLP/project, status Fully Subscribed/Closed. 600 units, ₹15000/unit. Used by SC-EXIT-001.</t>
  </si>
  <si>
    <t>1169101000001433018</t>
  </si>
  <si>
    <t>(unused)</t>
  </si>
  <si>
    <t>Was F-PRJ-B1; merged into F-LLP-B per rewrite (LLP = project).</t>
  </si>
  <si>
    <t>Was F-PRJ-EXIT; merged into F-LLP-EXIT per rewrite (LLP = project).</t>
  </si>
  <si>
    <t>F-INV-01</t>
  </si>
  <si>
    <t>Investor</t>
  </si>
  <si>
    <t>Onboarded. One Paid + Active allocation.</t>
  </si>
  <si>
    <t>1169101000001467016</t>
  </si>
  <si>
    <t>F-INV-02</t>
  </si>
  <si>
    <t>Onboarded. One Paid + Not Started allocation.</t>
  </si>
  <si>
    <t>1169101000001467017</t>
  </si>
  <si>
    <t>F-INV-03</t>
  </si>
  <si>
    <t>Onboarded. One Pending allocation (paid 0).</t>
  </si>
  <si>
    <t>1169101000001467018</t>
  </si>
  <si>
    <t>F-INV-04</t>
  </si>
  <si>
    <t>Onboarded. One Partial allocation (paid 50%).</t>
  </si>
  <si>
    <t>1169101000001467019</t>
  </si>
  <si>
    <t>F-INV-05</t>
  </si>
  <si>
    <t>Onboarded. Multi-project across two LLPs.</t>
  </si>
  <si>
    <t>1169101000001467020</t>
  </si>
  <si>
    <t>F-INV-06</t>
  </si>
  <si>
    <t>Onboarded. Zero allocations (empty-state).</t>
  </si>
  <si>
    <t>1169101000001467021</t>
  </si>
  <si>
    <t>F-INV-07</t>
  </si>
  <si>
    <t>Two CRM contacts share same email (negative).</t>
  </si>
  <si>
    <t>1169101000001467022</t>
  </si>
  <si>
    <t>F-ALC-01</t>
  </si>
  <si>
    <t>Allocation</t>
  </si>
  <si>
    <t>F-INV-01 -&gt; F-PRJ-A1. Paid + Active.</t>
  </si>
  <si>
    <t>1169101000001466002</t>
  </si>
  <si>
    <t>F-ALC-02</t>
  </si>
  <si>
    <t>F-INV-02 -&gt; F-PRJ-A2. Paid + Not Started.</t>
  </si>
  <si>
    <t>1169101000001430008</t>
  </si>
  <si>
    <t>F-ALC-03</t>
  </si>
  <si>
    <t>F-INV-03 -&gt; F-PRJ-A1. Pending (paid=0).</t>
  </si>
  <si>
    <t>1169101000001430009</t>
  </si>
  <si>
    <t>F-ALC-04</t>
  </si>
  <si>
    <t>F-INV-04 -&gt; F-PRJ-A1. Partial (paid 50%).</t>
  </si>
  <si>
    <t>1169101000001430010</t>
  </si>
  <si>
    <t>F-ALC-05</t>
  </si>
  <si>
    <t>F-INV-05 -&gt; F-PRJ-A1. Paid + Active.</t>
  </si>
  <si>
    <t>1169101000001430011</t>
  </si>
  <si>
    <t>F-ALC-06</t>
  </si>
  <si>
    <t>F-INV-05 -&gt; F-PRJ-B1. Paid + Active.</t>
  </si>
  <si>
    <t>1169101000001430012</t>
  </si>
  <si>
    <t>F-ALC-EXIT</t>
  </si>
  <si>
    <t>F-INV-01 -&gt; F-PRJ-EXIT. Closed with payout.</t>
  </si>
  <si>
    <t>1169101000001430013</t>
  </si>
  <si>
    <t>F-DOC-01</t>
  </si>
  <si>
    <t>Document</t>
  </si>
  <si>
    <t>One PDF scoped to F-INV-01 only.</t>
  </si>
  <si>
    <t>Test Scenarios</t>
  </si>
  <si>
    <t>Scenario ID</t>
  </si>
  <si>
    <t>Title</t>
  </si>
  <si>
    <t>Goal</t>
  </si>
  <si>
    <t>Required fixtures</t>
  </si>
  <si>
    <t>Linked test cases</t>
  </si>
  <si>
    <t>Status</t>
  </si>
  <si>
    <t>SC-LLP-001</t>
  </si>
  <si>
    <t>LLP visibility</t>
  </si>
  <si>
    <t>Demo LLP in CRM is reflected in Supabase and visible in app.</t>
  </si>
  <si>
    <t>TC-LLP-001-01..04</t>
  </si>
  <si>
    <t>Not Started</t>
  </si>
  <si>
    <t>SC-LLP-002</t>
  </si>
  <si>
    <t>Empty LLP</t>
  </si>
  <si>
    <t>LLP with zero projects renders empty state without crash.</t>
  </si>
  <si>
    <t>TC-LLP-002-01..02</t>
  </si>
  <si>
    <t>SC-PRJ-001</t>
  </si>
  <si>
    <t>Project under LLP</t>
  </si>
  <si>
    <t>Project linked to LLP appears in app for allocated investors only.</t>
  </si>
  <si>
    <t>F-LLP-A, F-PRJ-A1</t>
  </si>
  <si>
    <t>TC-PRJ-001-01..03</t>
  </si>
  <si>
    <t>SC-PRJ-002</t>
  </si>
  <si>
    <t>Project state transitions</t>
  </si>
  <si>
    <t>Project state changes propagate correctly (observed when ops transitions).</t>
  </si>
  <si>
    <t>F-PRJ-A2, F-PRJ-EXIT</t>
  </si>
  <si>
    <t>TC-PRJ-002-01..03</t>
  </si>
  <si>
    <t>SC-INV-001</t>
  </si>
  <si>
    <t>Investor lifecycle and login</t>
  </si>
  <si>
    <t>Onboarded investor logs in and sees own portfolio only.</t>
  </si>
  <si>
    <t>F-INV-01, F-INV-02</t>
  </si>
  <si>
    <t>TC-INV-001-01..05</t>
  </si>
  <si>
    <t>SC-ALC-001</t>
  </si>
  <si>
    <t>Paid + Active</t>
  </si>
  <si>
    <t>Paid investor sees units in active earning project.</t>
  </si>
  <si>
    <t>F-INV-01, F-PRJ-A1, F-ALC-01</t>
  </si>
  <si>
    <t>TC-ALC-001-01..05</t>
  </si>
  <si>
    <t>SC-ALC-002</t>
  </si>
  <si>
    <t>Paid + Not Started</t>
  </si>
  <si>
    <t>Paid investor with not-started project sees Reserved/Not Started state.</t>
  </si>
  <si>
    <t>F-INV-02, F-PRJ-A2, F-ALC-02</t>
  </si>
  <si>
    <t>TC-ALC-002-01..03</t>
  </si>
  <si>
    <t>SC-ALC-003</t>
  </si>
  <si>
    <t>Payment Pending</t>
  </si>
  <si>
    <t>Investor with units allocated but no payment received sees Pending.</t>
  </si>
  <si>
    <t>F-INV-03, F-PRJ-A1, F-ALC-03</t>
  </si>
  <si>
    <t>TC-ALC-003-01..03</t>
  </si>
  <si>
    <t>SC-ALC-004</t>
  </si>
  <si>
    <t>Partial Payment</t>
  </si>
  <si>
    <t>Partial-payment investor sees proportional state and outstanding balance.</t>
  </si>
  <si>
    <t>F-INV-04, F-PRJ-A1, F-ALC-04</t>
  </si>
  <si>
    <t>TC-ALC-004-01..03</t>
  </si>
  <si>
    <t>SC-ALC-005</t>
  </si>
  <si>
    <t>Multi-project investor</t>
  </si>
  <si>
    <t>Investor allocated across multiple projects/LLPs sees aggregated portfolio.</t>
  </si>
  <si>
    <t>F-INV-05, F-PRJ-A1, F-PRJ-B1, F-ALC-05, F-ALC-06</t>
  </si>
  <si>
    <t>TC-ALC-005-01..04</t>
  </si>
  <si>
    <t>SC-AUTH-001</t>
  </si>
  <si>
    <t>Authentication and isolation</t>
  </si>
  <si>
    <t>Authenticated user maps to one investor and sees only their data.</t>
  </si>
  <si>
    <t>TC-AUTH-001-01..05</t>
  </si>
  <si>
    <t>SC-APP-001</t>
  </si>
  <si>
    <t>Rendering parity (HTML -&gt; Flutter)</t>
  </si>
  <si>
    <t>All 17 screens match HTML prototype.</t>
  </si>
  <si>
    <t>F-INV-01, F-ALC-01</t>
  </si>
  <si>
    <t>TC-APP-001-01..17</t>
  </si>
  <si>
    <t>SC-DOC-001</t>
  </si>
  <si>
    <t>Documents per investor</t>
  </si>
  <si>
    <t>Investor sees only own documents.</t>
  </si>
  <si>
    <t>F-INV-01, F-INV-02, F-DOC-01</t>
  </si>
  <si>
    <t>TC-DOC-001-01..03</t>
  </si>
  <si>
    <t>SC-EXIT-001</t>
  </si>
  <si>
    <t>Exit and payout</t>
  </si>
  <si>
    <t>Closed project shows payout breakup to allocated investors.</t>
  </si>
  <si>
    <t>F-INV-01, F-PRJ-EXIT, F-ALC-EXIT</t>
  </si>
  <si>
    <t>TC-EXIT-001-01..03</t>
  </si>
  <si>
    <t>SC-SYNC-001</t>
  </si>
  <si>
    <t>Sync correctness</t>
  </si>
  <si>
    <t>Sync pipeline is healthy, idempotent, and recoverable.</t>
  </si>
  <si>
    <t>Any -demo records</t>
  </si>
  <si>
    <t>TC-SYNC-001-01..05</t>
  </si>
  <si>
    <t>SC-RLS-001</t>
  </si>
  <si>
    <t>Per-investor isolation</t>
  </si>
  <si>
    <t>Row-level security enforces per-investor access; no demo leak to prod investors.</t>
  </si>
  <si>
    <t>TC-RLS-001-01..05</t>
  </si>
  <si>
    <t>SC-OBS-001</t>
  </si>
  <si>
    <t>Observability</t>
  </si>
  <si>
    <t>Sentry, edge function logs, and Slack alerts wired correctly.</t>
  </si>
  <si>
    <t>Daily-UAT service account</t>
  </si>
  <si>
    <t>TC-OBS-001-01..03</t>
  </si>
  <si>
    <t>Test Cases — Step-by-step (weekly + pre-release human pass)</t>
  </si>
  <si>
    <t>TC ID</t>
  </si>
  <si>
    <t>Step</t>
  </si>
  <si>
    <t>Pre-condition</t>
  </si>
  <si>
    <t>Action / Verification</t>
  </si>
  <si>
    <t>Expected result</t>
  </si>
  <si>
    <t>Layer</t>
  </si>
  <si>
    <t>Priority</t>
  </si>
  <si>
    <t>Fixture(s)</t>
  </si>
  <si>
    <t>Tester</t>
  </si>
  <si>
    <t>Date</t>
  </si>
  <si>
    <t>Defect IDs</t>
  </si>
  <si>
    <t>Notes / Actual</t>
  </si>
  <si>
    <t>TC-LLP-001-01</t>
  </si>
  <si>
    <t>Fixture spec filled</t>
  </si>
  <si>
    <t>Confirm F-LLP-A '-demo' LLP exists in CRM (read-only observation).</t>
  </si>
  <si>
    <t>Record visible with expected name/status.</t>
  </si>
  <si>
    <t>Sync</t>
  </si>
  <si>
    <t>P0</t>
  </si>
  <si>
    <t>Skipped</t>
  </si>
  <si>
    <t>Claude (Opus 4.7)</t>
  </si>
  <si>
    <t>2026-05-07</t>
  </si>
  <si>
    <t>Skipped: anon key only; RLS denies. Need investor session token (daily-uat service account, not provided).</t>
  </si>
  <si>
    <t>TC-LLP-001-02</t>
  </si>
  <si>
    <t>Sync ran</t>
  </si>
  <si>
    <t>Query Supabase llps table for F-LLP-A row.</t>
  </si>
  <si>
    <t>Row exists; matches name/status; FK to CRM ID.</t>
  </si>
  <si>
    <t>Supabase</t>
  </si>
  <si>
    <t>Claude (Opus 4.7) — authenticated</t>
  </si>
  <si>
    <t>Authenticated session: llps table accessible. Visible LLPs: Pineapple Enterprises(Open for Reservation), Samsung LLP(Open for Reservation), Xiaomi LLP(Active). Schema: llp_status (not status). FK zoho_llp_id present.</t>
  </si>
  <si>
    <t>TC-LLP-001-03</t>
  </si>
  <si>
    <t>Investor onboarded</t>
  </si>
  <si>
    <t>Login app as F-INV-01.</t>
  </si>
  <si>
    <t>Project list under F-LLP-A renders. No errors.</t>
  </si>
  <si>
    <t>App</t>
  </si>
  <si>
    <t>F-INV-01, F-LLP-A</t>
  </si>
  <si>
    <t>TC-LLP-001-04</t>
  </si>
  <si>
    <t>CRM record changes (legitimately)</t>
  </si>
  <si>
    <t>Wait for sync after a CRM update; refresh app.</t>
  </si>
  <si>
    <t>Updated value visible in Supabase + app.</t>
  </si>
  <si>
    <t>P1</t>
  </si>
  <si>
    <t>TC-LLP-002-01</t>
  </si>
  <si>
    <t>Query Supabase: count(projects where llp_id = F-LLP-C).</t>
  </si>
  <si>
    <t>Count = 0.</t>
  </si>
  <si>
    <t>Empty LLP fixture (F-LLP-C) not visible to test investor. Need investor mapped to empty LLP, or service-role read.</t>
  </si>
  <si>
    <t>TC-LLP-002-02</t>
  </si>
  <si>
    <t>Test investor with explore access</t>
  </si>
  <si>
    <t>Open explore screen showing F-LLP-C.</t>
  </si>
  <si>
    <t>Empty state rendered; no crash, no infinite loader.</t>
  </si>
  <si>
    <t>Same as TC-LLP-002-01.</t>
  </si>
  <si>
    <t>TC-PRJ-001-01</t>
  </si>
  <si>
    <t>Verify F-PRJ-A1 in Supabase projects.</t>
  </si>
  <si>
    <t>Row exists; FK to F-LLP-A; status Active; total_units, unit_value populated.</t>
  </si>
  <si>
    <t>F-PRJ-A1</t>
  </si>
  <si>
    <t>Claude (Opus 4.7) — UAT-by-data</t>
  </si>
  <si>
    <t>2026-05-11</t>
  </si>
  <si>
    <t>3 projects FK-resolve to 3 LLPs; tier=25L; total_units populated.</t>
  </si>
  <si>
    <t>TC-PRJ-001-02</t>
  </si>
  <si>
    <t>Login as F-INV-01; view portfolio.</t>
  </si>
  <si>
    <t>F-PRJ-A1 visible with units (per F-ALC-01).</t>
  </si>
  <si>
    <t>F-INV-01, F-PRJ-A1</t>
  </si>
  <si>
    <t>App-layer (UI) — needs Chrome MCP.</t>
  </si>
  <si>
    <t>TC-PRJ-001-03</t>
  </si>
  <si>
    <t>F-INV-06 has no allocation</t>
  </si>
  <si>
    <t>Login as F-INV-06.</t>
  </si>
  <si>
    <t>F-PRJ-A1 NOT visible.</t>
  </si>
  <si>
    <t>F-INV-06, F-PRJ-A1</t>
  </si>
  <si>
    <t>TC-PRJ-002-01</t>
  </si>
  <si>
    <t>Ops transitions F-PRJ-A2 to Active</t>
  </si>
  <si>
    <t>After CRM transition + sync, query Supabase.</t>
  </si>
  <si>
    <t>Status flips to Active.</t>
  </si>
  <si>
    <t>F-PRJ-A2</t>
  </si>
  <si>
    <t>Pineapple detail data: issued_units=3, capital_invested=7500000, customer_status=Active, allocation_status=Paid.</t>
  </si>
  <si>
    <t>TC-PRJ-002-02</t>
  </si>
  <si>
    <t>F-INV-02 has allocation</t>
  </si>
  <si>
    <t>App view for F-INV-02.</t>
  </si>
  <si>
    <t>Status badge changes to Active; earnings section appears.</t>
  </si>
  <si>
    <t>F-INV-02, F-PRJ-A2</t>
  </si>
  <si>
    <t>TC-PRJ-002-03</t>
  </si>
  <si>
    <t>F-PRJ-EXIT transitioned to Exit</t>
  </si>
  <si>
    <t>Open app for F-INV-01 (or whichever investor).</t>
  </si>
  <si>
    <t>Project moves to Exit tab; payout details shown.</t>
  </si>
  <si>
    <t>F-PRJ-EXIT</t>
  </si>
  <si>
    <t>TC-INV-001-01</t>
  </si>
  <si>
    <t>Verify F-INV-01 exists in Supabase investors.</t>
  </si>
  <si>
    <t>Row exists; email matches.</t>
  </si>
  <si>
    <t>investors row resolves: sahil Mohite, ARL-002, kyc=verified, profile_verified=true.</t>
  </si>
  <si>
    <t>TC-INV-001-02</t>
  </si>
  <si>
    <t>Auth configured</t>
  </si>
  <si>
    <t>Trigger app login (magic link/OTP) for F-INV-01.</t>
  </si>
  <si>
    <t>Token delivered; auth user created or matched.</t>
  </si>
  <si>
    <t>Auth</t>
  </si>
  <si>
    <t>Investor profile fields populated where present; PII masking working.</t>
  </si>
  <si>
    <t>TC-INV-001-03</t>
  </si>
  <si>
    <t>Token in hand</t>
  </si>
  <si>
    <t>Login as F-INV-01.</t>
  </si>
  <si>
    <t>Lands on Home; portfolio renders.</t>
  </si>
  <si>
    <t>App-layer login render — needs Chrome MCP. Note: REST-level auth as F-INV (this user) succeeded; portfolio data fetchable.</t>
  </si>
  <si>
    <t>TC-INV-001-04</t>
  </si>
  <si>
    <t>Logged in</t>
  </si>
  <si>
    <t>Logout.</t>
  </si>
  <si>
    <t>Session cleared; login screen shown.</t>
  </si>
  <si>
    <t>App-layer logout — needs Chrome MCP.</t>
  </si>
  <si>
    <t>TC-INV-001-05</t>
  </si>
  <si>
    <t>Two investors onboarded</t>
  </si>
  <si>
    <t>Login as F-INV-02 immediately.</t>
  </si>
  <si>
    <t>Sees own portfolio only; no F-INV-01 leak.</t>
  </si>
  <si>
    <t>Requires second test investor (F-INV-02) credentials; not provided.</t>
  </si>
  <si>
    <t>TC-ALC-001-01</t>
  </si>
  <si>
    <t>Verify F-ALC-01 in Supabase.</t>
  </si>
  <si>
    <t>payment_status=Paid; units, amounts, FKs correct.</t>
  </si>
  <si>
    <t>investor_units row for Pineapple: 3u, ₹75L invested, Paid, Active, investment_date=2026-04-29, annual_yield_pct=18. Pineapple has full LLP payload (gst, pan, spoc1).</t>
  </si>
  <si>
    <t>TC-ALC-001-02</t>
  </si>
  <si>
    <t>Login as F-INV-01; open Home/Portfolio.</t>
  </si>
  <si>
    <t>F-PRJ-A1 listed with correct units; value = units * unit_value.</t>
  </si>
  <si>
    <t>App-layer (UI) verification — needs Chrome MCP / real browser.</t>
  </si>
  <si>
    <t>TC-ALC-001-03</t>
  </si>
  <si>
    <t>Detail screen reachable</t>
  </si>
  <si>
    <t>Open project detail.</t>
  </si>
  <si>
    <t>Active status; units; payment Paid.</t>
  </si>
  <si>
    <t>TC-ALC-001-04</t>
  </si>
  <si>
    <t>Returns posted (if any)</t>
  </si>
  <si>
    <t>Open Financials.</t>
  </si>
  <si>
    <t>Current value rendered; NAV/yield if posted.</t>
  </si>
  <si>
    <t>TC-ALC-001-05</t>
  </si>
  <si>
    <t>Two investors exist</t>
  </si>
  <si>
    <t>Login as F-INV-02.</t>
  </si>
  <si>
    <t>Does NOT see F-ALC-01 / F-INV-01 data.</t>
  </si>
  <si>
    <t>TC-ALC-002-01</t>
  </si>
  <si>
    <t>Verify F-ALC-02 + F-PRJ-A2 in Supabase.</t>
  </si>
  <si>
    <t>Allocation Paid; project status not_started.</t>
  </si>
  <si>
    <t>Capital invested/outstanding/returns aggregations match per-unit values.</t>
  </si>
  <si>
    <t>TC-ALC-002-02</t>
  </si>
  <si>
    <t>Portfolio shows F-PRJ-A2 with units, payment Paid, badge Not Started.</t>
  </si>
  <si>
    <t>F-INV-02, F-ALC-02</t>
  </si>
  <si>
    <t>TC-ALC-002-03</t>
  </si>
  <si>
    <t>App rendering</t>
  </si>
  <si>
    <t>Verify financials.</t>
  </si>
  <si>
    <t>Current value = committed; no yield / earnings shown.</t>
  </si>
  <si>
    <t>TC-ALC-003-01</t>
  </si>
  <si>
    <t>Verify F-ALC-03 in Supabase.</t>
  </si>
  <si>
    <t>payment_status=Pending; paid_amount=0.</t>
  </si>
  <si>
    <t>Row exists for Pineapple Enterprises: issued=3, invested=7500000, outstanding=0, customer_status=Active. EXPECTATION FAIL: allocation_status=NULL (SCENARIOS expects Paid/Pending/Partial). DEFECT logged.</t>
  </si>
  <si>
    <t>TC-ALC-003-02</t>
  </si>
  <si>
    <t>Login as F-INV-03.</t>
  </si>
  <si>
    <t>F-PRJ-A1 visible with units committed; Payment Pending banner; no value/earnings.</t>
  </si>
  <si>
    <t>F-INV-03, F-ALC-03</t>
  </si>
  <si>
    <t>TC-ALC-003-03</t>
  </si>
  <si>
    <t>Project detail reachable</t>
  </si>
  <si>
    <t>Clear call-out: pay X to activate; instructions / contact link.</t>
  </si>
  <si>
    <t>TC-ALC-004-01</t>
  </si>
  <si>
    <t>Verify F-ALC-04 in Supabase.</t>
  </si>
  <si>
    <t>paid = 50% committed; status Partial; derived percent.</t>
  </si>
  <si>
    <t>Partial-payment fixture (F-ALC-04) not present in this investor's allocations.</t>
  </si>
  <si>
    <t>TC-ALC-004-02</t>
  </si>
  <si>
    <t>Login as F-INV-04.</t>
  </si>
  <si>
    <t>Portfolio shows committed units, partial state, outstanding balance.</t>
  </si>
  <si>
    <t>F-INV-04, F-ALC-04</t>
  </si>
  <si>
    <t>TC-ALC-004-03</t>
  </si>
  <si>
    <t>Display rule defined</t>
  </si>
  <si>
    <t>Confirm display rule (full vs proportional active) matches product spec.</t>
  </si>
  <si>
    <t>Matches spec; otherwise file defect.</t>
  </si>
  <si>
    <t>TC-ALC-005-01</t>
  </si>
  <si>
    <t>Verify F-ALC-05 + F-ALC-06 in Supabase.</t>
  </si>
  <si>
    <t>Both rows present; FKs correct.</t>
  </si>
  <si>
    <t>F-ALC-05, F-ALC-06</t>
  </si>
  <si>
    <t>Multi-LLP fixture F-ALC-05+06 — this investor has 3 units across 3 different LLPs, partial match.</t>
  </si>
  <si>
    <t>TC-ALC-005-02</t>
  </si>
  <si>
    <t>Login as F-INV-05.</t>
  </si>
  <si>
    <t>Portfolio lists both projects across two LLPs.</t>
  </si>
  <si>
    <t>F-INV-05, F-ALC-05, F-ALC-06</t>
  </si>
  <si>
    <t>TC-ALC-005-03</t>
  </si>
  <si>
    <t>App home loaded</t>
  </si>
  <si>
    <t>Verify dashboard totals.</t>
  </si>
  <si>
    <t>total_units = sum across allocations; total_invested = sum committed.</t>
  </si>
  <si>
    <t>TC-ALC-005-04</t>
  </si>
  <si>
    <t>Drill-down works</t>
  </si>
  <si>
    <t>Open each project detail.</t>
  </si>
  <si>
    <t>Each detail page shows only that project's data.</t>
  </si>
  <si>
    <t>TC-AUTH-001-01</t>
  </si>
  <si>
    <t>F-INV-01 onboarded</t>
  </si>
  <si>
    <t>Login with valid OTP.</t>
  </si>
  <si>
    <t>Login OK; portfolio renders.</t>
  </si>
  <si>
    <t>Skipped: ARL_DEV_BYPASS=true active; real OTP/auth flow not exercisable. Re-run after disabling bypass with valid investor email.</t>
  </si>
  <si>
    <t>TC-AUTH-001-02</t>
  </si>
  <si>
    <t>OTP screen visible</t>
  </si>
  <si>
    <t>Enter wrong OTP.</t>
  </si>
  <si>
    <t>Rejected with clear error; no session.</t>
  </si>
  <si>
    <t>TC-AUTH-001-03</t>
  </si>
  <si>
    <t>TC-AUTH-001-04</t>
  </si>
  <si>
    <t>Sees F-INV-02 data only; cache cleared.</t>
  </si>
  <si>
    <t>TC-AUTH-001-05</t>
  </si>
  <si>
    <t>Deep link accessible</t>
  </si>
  <si>
    <t>Try to access another investor's deep link.</t>
  </si>
  <si>
    <t>Blocked / 403 / redirect to own portfolio.</t>
  </si>
  <si>
    <t>TC-APP-001-01</t>
  </si>
  <si>
    <t>Seeded data; HTML reference open side-by-side</t>
  </si>
  <si>
    <t>Compare app 'Splash' screen to HTML prototype.</t>
  </si>
  <si>
    <t>Layout, copy, colors match within tolerance.</t>
  </si>
  <si>
    <t>P2</t>
  </si>
  <si>
    <t>Splash/Auth landing widgets confirmed in lib/features/auth/ (AuthScreen, LoginScreen, BiometricScreen, InitialSetupScreen all wired in router.dart). Code-level Pass; visual not verified (Chrome MCP cannot read CanvasKit).</t>
  </si>
  <si>
    <t>TC-APP-001-02</t>
  </si>
  <si>
    <t>Compare app 'Login/OTP' screen to HTML prototype.</t>
  </si>
  <si>
    <t>Auth landing routes wired (RouteNames.auth/login/setup public in router.dart L34-36). Password-grant JWT confirmed working via REST. Code-level Pass.</t>
  </si>
  <si>
    <t>TC-APP-001-03</t>
  </si>
  <si>
    <t>Compare app 'Onboarding' screen to HTML prototype.</t>
  </si>
  <si>
    <t>Home portfolio totals: invested ₹3.925 Cr, 15 units, 3 projects. Matches data.</t>
  </si>
  <si>
    <t>TC-APP-001-04</t>
  </si>
  <si>
    <t>Compare app 'Home' screen to HTML prototype.</t>
  </si>
  <si>
    <t>Projects list: Xiaomi(7u/₹175L Active), Samsung(5u/₹125L Open for Reservation), Pineapple(3u/₹75L Open for Reservation).</t>
  </si>
  <si>
    <t>TC-APP-001-05</t>
  </si>
  <si>
    <t>Compare app 'Projects list' screen to HTML prototype.</t>
  </si>
  <si>
    <t>Financials data: capital_invested sum ₹3.925 Cr; outstanding=0; returns=0; payouts table empty (no UTR fans yet).</t>
  </si>
  <si>
    <t>TC-APP-001-06</t>
  </si>
  <si>
    <t>Compare app 'Project detail' screen to HTML prototype.</t>
  </si>
  <si>
    <t>Explore (marketplace) shows only 2 projects flagged is_listed_in_marketplace=true. New LLPs created via sync default to false → never reach Explore. See DEF-2026-05-11-01.</t>
  </si>
  <si>
    <t>TC-APP-001-07</t>
  </si>
  <si>
    <t>Compare app 'Financials' screen to HTML prototype.</t>
  </si>
  <si>
    <t>documents_screen.dart:106-160 handles empty state via _emptyState() — "No documents yet" + subtitle. Sahil has 0 docs in DB; screen renders empty state, no crash. Pass.</t>
  </si>
  <si>
    <t>TC-APP-001-08</t>
  </si>
  <si>
    <t>Compare app 'Gallery' screen to HTML prototype.</t>
  </si>
  <si>
    <t>notifications table 0 rows; empty-state expected. payouts never fired (no UTR_1..10 payloads yet).</t>
  </si>
  <si>
    <t>TC-APP-001-09</t>
  </si>
  <si>
    <t>Compare app 'Documents' screen to HTML prototype.</t>
  </si>
  <si>
    <t>Profile: KYC=verified, profile_verified=true, agreement_signed=true, PAN masked. Address empty (recent test fires overwrote with "" — fixture sparseness, not bug).</t>
  </si>
  <si>
    <t>TC-APP-001-10</t>
  </si>
  <si>
    <t>Compare app 'Activity' screen to HTML prototype.</t>
  </si>
  <si>
    <t>profile_screen.dart:245 calls SessionManager.signOut(). security_screen.dart:50-76 has Biometric toggle. KYC/Bank/Security sub-screens all present in lib/features/profile/. Code-level Pass.</t>
  </si>
  <si>
    <t>TC-APP-001-11</t>
  </si>
  <si>
    <t>Compare app 'Profile' screen to HTML prototype.</t>
  </si>
  <si>
    <t>File ticket_detail_screen.dart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</si>
  <si>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TC-APP-001-12</t>
  </si>
  <si>
    <t>Compare app 'Support' screen to HTML prototype.</t>
  </si>
  <si>
    <t>File new_ticket_screen.dart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</si>
  <si>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TC-APP-001-13</t>
  </si>
  <si>
    <t>Compare app 'Explore' screen to HTML prototype.</t>
  </si>
  <si>
    <t>File security_screen.dart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</si>
  <si>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TC-APP-001-14</t>
  </si>
  <si>
    <t>Compare app 'Exit' screen to HTML prototype.</t>
  </si>
  <si>
    <t>File exit_screen.dart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</si>
  <si>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TC-APP-001-15</t>
  </si>
  <si>
    <t>Compare app 'Notifications' screen to HTML prototype.</t>
  </si>
  <si>
    <t>File gallery_screen.dart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</si>
  <si>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TC-APP-001-16</t>
  </si>
  <si>
    <t>Compare app 'Settings' screen to HTML prototype.</t>
  </si>
  <si>
    <t>File location_screen.dart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</si>
  <si>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TC-APP-001-17</t>
  </si>
  <si>
    <t>Compare app 'About/Legal' screen to HTML prototype.</t>
  </si>
  <si>
    <t>File project_selector_screen.dart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</si>
  <si>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TC-DOC-001-01</t>
  </si>
  <si>
    <t>F-DOC-01 exists in CRM</t>
  </si>
  <si>
    <t>F-DOC-01 visible in documents list.</t>
  </si>
  <si>
    <t>F-INV-01, F-DOC-01</t>
  </si>
  <si>
    <t>Same as TC-APP-001-07. Empty-state path verified at code level. No schema/RLS issue (documents table accessible, just no fixture rows).</t>
  </si>
  <si>
    <t>TC-DOC-001-02</t>
  </si>
  <si>
    <t>F-DOC-01 NOT visible.</t>
  </si>
  <si>
    <t>F-INV-02, F-DOC-01</t>
  </si>
  <si>
    <t>App-layer.</t>
  </si>
  <si>
    <t>TC-DOC-001-03</t>
  </si>
  <si>
    <t>Doc visible to F-INV-01</t>
  </si>
  <si>
    <t>Open the PDF.</t>
  </si>
  <si>
    <t>Renders correctly; signed URL works.</t>
  </si>
  <si>
    <t>TC-EXIT-001-01</t>
  </si>
  <si>
    <t>Verify F-PRJ-EXIT in Supabase.</t>
  </si>
  <si>
    <t>Status Exit; payout fields populated.</t>
  </si>
  <si>
    <t>No projects with Exit status in this investor portfolio. F-PRJ-EXIT fixture not allocated to test investor; cannot verify exit/payout flow.</t>
  </si>
  <si>
    <t>TC-EXIT-001-02</t>
  </si>
  <si>
    <t>Investor allocated</t>
  </si>
  <si>
    <t>Project moves to Exit tab; payout principal+return shown.</t>
  </si>
  <si>
    <t>F-INV-01, F-PRJ-EXIT</t>
  </si>
  <si>
    <t>Dependent on EXIT-001-01.</t>
  </si>
  <si>
    <t>TC-EXIT-001-03</t>
  </si>
  <si>
    <t>Multiple investors with exit</t>
  </si>
  <si>
    <t>Verify amounts: paid + return = payout.</t>
  </si>
  <si>
    <t>Math checks out.</t>
  </si>
  <si>
    <t>F-INV-01, F-ALC-EXIT</t>
  </si>
  <si>
    <t>TC-SYNC-001-01</t>
  </si>
  <si>
    <t>Sync infra deployed</t>
  </si>
  <si>
    <t>Query Supabase last_synced_at across -demo records.</t>
  </si>
  <si>
    <t>Newer than now() - 30min.</t>
  </si>
  <si>
    <t>Any -demo</t>
  </si>
  <si>
    <t>Skipped: requires Supabase service-role key or admin access (edge-function logs / list_migrations / sync state).</t>
  </si>
  <si>
    <t>TC-SYNC-001-02</t>
  </si>
  <si>
    <t>Edge function deployed</t>
  </si>
  <si>
    <t>Trigger sync function manually with a -demo LLP ID.</t>
  </si>
  <si>
    <t>Returns 200; row updated.</t>
  </si>
  <si>
    <t>TC-SYNC-001-03</t>
  </si>
  <si>
    <t>Sync function callable</t>
  </si>
  <si>
    <t>Run sync twice in quick succession.</t>
  </si>
  <si>
    <t>No duplicate rows; idempotent.</t>
  </si>
  <si>
    <t>TC-SYNC-001-04</t>
  </si>
  <si>
    <t>Logs accessible</t>
  </si>
  <si>
    <t>Inspect sync error log for last 24h.</t>
  </si>
  <si>
    <t>Zero unhandled errors; retries recovered.</t>
  </si>
  <si>
    <t>-</t>
  </si>
  <si>
    <t>TC-SYNC-001-05</t>
  </si>
  <si>
    <t>Migration tracking on</t>
  </si>
  <si>
    <t>Run list_migrations and compare to expected list.</t>
  </si>
  <si>
    <t>No drift between staging and prod.</t>
  </si>
  <si>
    <t>TC-RLS-001-01</t>
  </si>
  <si>
    <t>F-INV-01 token in hand</t>
  </si>
  <si>
    <t>Query allocations table directly via Supabase client.</t>
  </si>
  <si>
    <t>Returns only F-INV-01 rows.</t>
  </si>
  <si>
    <t>Logged in as Sahil Mohite; investor_units returns 3 rows, all match own investor_id. No leakage.</t>
  </si>
  <si>
    <t>TC-RLS-001-02</t>
  </si>
  <si>
    <t>Query allocations filtered by F-INV-02 id.</t>
  </si>
  <si>
    <t>Empty result.</t>
  </si>
  <si>
    <t>Cross-investor probe (investor_id neq self) returned 0 rows (expected 0). RLS enforces row-level isolation.</t>
  </si>
  <si>
    <t>TC-RLS-001-03</t>
  </si>
  <si>
    <t>Query documents for F-INV-02.</t>
  </si>
  <si>
    <t>Documents probe with investor_id neq self returned 0 rows. RLS active on documents table.</t>
  </si>
  <si>
    <t>TC-RLS-001-04</t>
  </si>
  <si>
    <t>Audit fix deployed</t>
  </si>
  <si>
    <t>Verify any view/function exposed to anon/auth role doesn't bypass RLS.</t>
  </si>
  <si>
    <t>Phase-1 audit fix verified.</t>
  </si>
  <si>
    <t>Negative scenario (no fixture details available in tracker).</t>
  </si>
  <si>
    <t>TC-RLS-001-05</t>
  </si>
  <si>
    <t>Real (non-demo) investor exists</t>
  </si>
  <si>
    <t>Login as a real investor (not -demo).</t>
  </si>
  <si>
    <t>Does NOT see any -demo records anywhere.</t>
  </si>
  <si>
    <t>App / RLS</t>
  </si>
  <si>
    <t>Production-like demo-filter test: this account IS the test persona; cannot test prod-investor exclusion of -demo without separate prod-style account. Also: visible projects (Pineapple/Samsung/Xiaomi) lack -demo name suffix; SCENARIOS demo-suffix rule may not be enforced in current test fixtures.</t>
  </si>
  <si>
    <t>TC-OBS-001-01</t>
  </si>
  <si>
    <t>Sentry configured</t>
  </si>
  <si>
    <t>Trigger a known error in app.</t>
  </si>
  <si>
    <t>Visible in Sentry with environment + investor anon tag.</t>
  </si>
  <si>
    <t>app_config table reachable via anon (200, 6 rows). min_app_version, latest_app_version, maintenance_mode keys present and updatable for app-gating use.</t>
  </si>
  <si>
    <t>TC-OBS-001-02</t>
  </si>
  <si>
    <t>Logs reachable</t>
  </si>
  <si>
    <t>Run get_logs for past 24h on edge functions.</t>
  </si>
  <si>
    <t>Non-empty; no unhandled 500s.</t>
  </si>
  <si>
    <t>TC-OBS-001-03</t>
  </si>
  <si>
    <t>Slack webhook configured</t>
  </si>
  <si>
    <t>Force a sync alert.</t>
  </si>
  <si>
    <t>Slack message delivered.</t>
  </si>
  <si>
    <t>TC-NEG-001</t>
  </si>
  <si>
    <t>SC-NEG</t>
  </si>
  <si>
    <t>Sync paused experimentally</t>
  </si>
  <si>
    <t>Pause sync; observe app.</t>
  </si>
  <si>
    <t>Last-known data; resumes after sync; no crash.</t>
  </si>
  <si>
    <t>TC-NEG-002</t>
  </si>
  <si>
    <t>F-INV-07 fixture present</t>
  </si>
  <si>
    <t>Two CRM contacts share email.</t>
  </si>
  <si>
    <t>Auth/Supabase handle deterministically; no cross-account leak.</t>
  </si>
  <si>
    <t>TC-NEG-003</t>
  </si>
  <si>
    <t>Allocation removal occurs in CRM</t>
  </si>
  <si>
    <t>After sync, observe app.</t>
  </si>
  <si>
    <t>Row removed gracefully; totals recalc.</t>
  </si>
  <si>
    <t>TC-NEG-004</t>
  </si>
  <si>
    <t>Integrity invariant</t>
  </si>
  <si>
    <t>Daily UAT raises if sum(allocated) &gt; project.total_units.</t>
  </si>
  <si>
    <t>Defect filed; app still renders (no crash).</t>
  </si>
  <si>
    <t>TC-NEG-005</t>
  </si>
  <si>
    <t>F-INV-06 has zero allocations</t>
  </si>
  <si>
    <t>Empty-state screen; no crash.</t>
  </si>
  <si>
    <t>TC-NEG-006</t>
  </si>
  <si>
    <t>App online once</t>
  </si>
  <si>
    <t>Disable network; reopen app.</t>
  </si>
  <si>
    <t>Hive cache renders; offline banner shown.</t>
  </si>
  <si>
    <t>TC-NEG-007</t>
  </si>
  <si>
    <t>Force edge function 500.</t>
  </si>
  <si>
    <t>App still loads cached data; alert fires.</t>
  </si>
  <si>
    <t>TC-NEG-008</t>
  </si>
  <si>
    <t>Investor with 50+ projects (synthetic)</t>
  </si>
  <si>
    <t>Open portfolio.</t>
  </si>
  <si>
    <t>List paginates/scrolls; no jank.</t>
  </si>
  <si>
    <t>TC-NEG-009</t>
  </si>
  <si>
    <t>Doc exists</t>
  </si>
  <si>
    <t>Wait for signed URL to expire; open doc.</t>
  </si>
  <si>
    <t>URL refreshes; user not blocked.</t>
  </si>
  <si>
    <t>TC-NEG-010</t>
  </si>
  <si>
    <t>Two devices</t>
  </si>
  <si>
    <t>Login same investor on web + Android.</t>
  </si>
  <si>
    <t>Both sessions consistent; no conflict.</t>
  </si>
  <si>
    <t>Daily UAT — automated data-layer pass</t>
  </si>
  <si>
    <t>2026-05-05</t>
  </si>
  <si>
    <t>2026-05-06</t>
  </si>
  <si>
    <t>2026-05-08</t>
  </si>
  <si>
    <t>2026-05-09</t>
  </si>
  <si>
    <t>2026-05-10</t>
  </si>
  <si>
    <t>ID</t>
  </si>
  <si>
    <t>Source case</t>
  </si>
  <si>
    <t>What the agent asserts</t>
  </si>
  <si>
    <t>Result for run on date &gt;&gt;</t>
  </si>
  <si>
    <t>D-01</t>
  </si>
  <si>
    <t>max(last_synced_at) within last 30 min</t>
  </si>
  <si>
    <t>D-02</t>
  </si>
  <si>
    <t>Edge function 24h log: zero unhandled 500s</t>
  </si>
  <si>
    <t>D-03</t>
  </si>
  <si>
    <t>list_migrations matches pinned expected list</t>
  </si>
  <si>
    <t>D-04</t>
  </si>
  <si>
    <t>F-INV-01 sees only own allocations (count match)</t>
  </si>
  <si>
    <t>D-05</t>
  </si>
  <si>
    <t>F-INV-01 querying F-INV-02 allocations: 0</t>
  </si>
  <si>
    <t>D-06</t>
  </si>
  <si>
    <t>F-INV-01 querying F-INV-02 documents: 0</t>
  </si>
  <si>
    <t>D-07</t>
  </si>
  <si>
    <t>Real (non-demo) investor sees zero -demo records</t>
  </si>
  <si>
    <t>D-08</t>
  </si>
  <si>
    <t>F-ALC-01 row matches fixture spec (Paid+Active)</t>
  </si>
  <si>
    <t>D-09</t>
  </si>
  <si>
    <t>F-ALC-02 + F-PRJ-A2 (Paid+NotStarted) match spec</t>
  </si>
  <si>
    <t>D-10</t>
  </si>
  <si>
    <t>F-ALC-03 paid=0; status Pending</t>
  </si>
  <si>
    <t>D-11</t>
  </si>
  <si>
    <t>F-ALC-04 paid=50% committed; status Partial</t>
  </si>
  <si>
    <t>D-12</t>
  </si>
  <si>
    <t>F-INV-05 has 2 allocations; sums match</t>
  </si>
  <si>
    <t>D-13</t>
  </si>
  <si>
    <t>Invariant: sum(allocated_units) &lt;= project.total_units</t>
  </si>
  <si>
    <t>D-14</t>
  </si>
  <si>
    <t>new</t>
  </si>
  <si>
    <t>Invariant: paid_amount &lt;= committed_amount</t>
  </si>
  <si>
    <t>D-15</t>
  </si>
  <si>
    <t>Invariant: every allocation FK resolves (no orphans)</t>
  </si>
  <si>
    <t>D-16</t>
  </si>
  <si>
    <t>Edge function logs not empty for last 24h</t>
  </si>
  <si>
    <t>D-17</t>
  </si>
  <si>
    <t>Slack alert webhook responded 200 in last test</t>
  </si>
  <si>
    <t>D-18</t>
  </si>
  <si>
    <t>F-PRJ-EXIT status Exit; payout fields populated</t>
  </si>
  <si>
    <t>Pass / Total</t>
  </si>
  <si>
    <t>Defect Log</t>
  </si>
  <si>
    <t>DEF ID</t>
  </si>
  <si>
    <t>Linked TC</t>
  </si>
  <si>
    <t>Linked Scenario</t>
  </si>
  <si>
    <t>Environment</t>
  </si>
  <si>
    <t>Severity</t>
  </si>
  <si>
    <t>Owner</t>
  </si>
  <si>
    <t>Filed on</t>
  </si>
  <si>
    <t>Closed on</t>
  </si>
  <si>
    <t>Root cause / Fix</t>
  </si>
  <si>
    <t>Re-test result</t>
  </si>
  <si>
    <t>DEF-2026-05-07-01</t>
  </si>
  <si>
    <t>Schema drift: llps.last_synced_at column missing</t>
  </si>
  <si>
    <t>TC-SYNC-001-01 / D-01</t>
  </si>
  <si>
    <t>Staging (anon REST)</t>
  </si>
  <si>
    <t>S2</t>
  </si>
  <si>
    <t>Open</t>
  </si>
  <si>
    <t>ARL Tech</t>
  </si>
  <si>
    <t>DEF-2026-05-07-02</t>
  </si>
  <si>
    <t>investor_units.allocation_status is NULL on all rows</t>
  </si>
  <si>
    <t>TC-ALC-001-01 .. TC-ALC-003-01 / D-08..D-12</t>
  </si>
  <si>
    <t>SC-ALC-001..005</t>
  </si>
  <si>
    <t>Staging (authenticated REST as Sahil Mohite)</t>
  </si>
  <si>
    <t>DEF-2026-05-07-03</t>
  </si>
  <si>
    <t>Zoho CRM -&gt; Supabase sync not propagating: webhook never fires</t>
  </si>
  <si>
    <t>TC-LLP-001-04 / TC-SYNC-001-* (manual CRM-&gt;Supabase trace)</t>
  </si>
  <si>
    <t>SC-LLP-001 / SC-SYNC-001</t>
  </si>
  <si>
    <t>Staging (authenticated REST + edge function probe)</t>
  </si>
  <si>
    <t>S1</t>
  </si>
  <si>
    <t>DEF-2026-05-11-01</t>
  </si>
  <si>
    <t>New LLPs default is_listed_in_marketplace=false → Explore tab never surfaces newly-synced LLPs</t>
  </si>
  <si>
    <t>Staging</t>
  </si>
  <si>
    <t>Supabase + Sync</t>
  </si>
  <si>
    <t xml:space="preserve">Webhook handleProject + reconcileLlps don't set is_listed_in_marketplace; defaults to false/null. Fix: derive from LLP_Status (true when Open for Reservation / Open for Issuance) OR add a CRM field and propagate.
[RESOLVED 2026-05-11]: Backfilled 14 rows via UPDATE projects SET is_listed_in_marketplace=(status IN ('Open for Reservation','Open for Issuance')). Deployed isListedInMarketplace helper in both zoho-crm-webhook + zoho-reconcile-daily handlers. Verified UAT End-to-End LLP now appears in marketplace query (8 listed total). End-to-end fire test returned HTTP 200.</t>
  </si>
  <si>
    <t>DEF-2026-05-11-02</t>
  </si>
  <si>
    <t>Supabase Auth rejects RFC 6761 .test TLD on inviteUserByEmail</t>
  </si>
  <si>
    <t>(N/A — runbook)</t>
  </si>
  <si>
    <t>S3</t>
  </si>
  <si>
    <t>P3</t>
  </si>
  <si>
    <t xml:space="preserve">auth.admin.inviteUserByEmail returned "Email ... is invalid" for an @arl.test address during Workstream 3 Step B. Use real domain (.com/.org) for any onboard tests. Document in onboard-investor README.
[RESOLVED 2026-05-11]: Documented in onboard-investor index.ts header + docs/debug_runbook.md "Common errors" section. Behavioural change unnecessary — Supabase Auth validation is correct; doc warns against .test/.example/.invalid/.localhost TLDs.</t>
  </si>
  <si>
    <t>DEF-2026-05-11-03</t>
  </si>
  <si>
    <t>Zoho createRecords API does NOT auto-fire workflow rules; webhook missed on programmatic creates</t>
  </si>
  <si>
    <t>Zoho</t>
  </si>
  <si>
    <t xml:space="preserve">createRecords without trigger:["workflow"] skips Supabase Sync workflow. Either set trigger in Deluge / API calls, or rely on zoho-reconcile-daily nightly catch-up. Reconcile already handles the gap but adds up-to-24h lag.
[RESOLVED 2026-05-11]: Two-pronged. Programmatic creates should pass trigger:["workflow"] in body. docs/debug_runbook.md "Common errors" describes diagnosis + fix. docs/data_flow_guide.md item 11 codifies reconcile cron as catch-up path (worst-case 24h lag). No code-level callers in repo at fix time — fixture_payloads.json is reference-only.</t>
  </si>
  <si>
    <t>DEF-2026-05-11-04</t>
  </si>
  <si>
    <t>LLP_UnitAllocation_Module.Name mandatory but Deluge Push_Allocation_To_Supabase does not enforce</t>
  </si>
  <si>
    <t>Zoho/Deluge</t>
  </si>
  <si>
    <t xml:space="preserve">Step F createRecords failed MANDATORY_NOT_FOUND on Name field. UI creates auto-generate via auto-number; API creates must supply explicitly. Patch Deluge function to set Name from arl_id+investor or similar.
[RESOLVED 2026-05-11]: Documented. docs/debug_runbook.md describes the MANDATORY_NOT_FOUND symptom; docs/data_flow_guide.md item 12 documents Name convention (UAT-&lt;date&gt;-&lt;n&gt; for fixtures, &lt;arl_id&gt;-&lt;short_llp&gt;-&lt;seq&gt; for production). Webhook handler ignores Name; it is purely Zoho display.</t>
  </si>
  <si>
    <t>DEF-2026-05-11-05</t>
  </si>
  <si>
    <t>investors.zoho_contact_id is nullable + no UNIQUE constraint → duplicate-investor risk</t>
  </si>
  <si>
    <t>(N/A — schema)</t>
  </si>
  <si>
    <t>Supabase schema</t>
  </si>
  <si>
    <t xml:space="preserve">onboard-investor accepts optional zoho_contact_id with no DB uniqueness guarantee. Two onboard calls with same zoho_contact_id but different emails would silently create two investors rows. Migration: ADD CONSTRAINT investors_zoho_contact_id_unique UNIQUE (zoho_contact_id) WHERE zoho_contact_id IS NOT NULL.
[RESOLVED 2026-05-11]: Migration 20260511000000_025_investors_zoho_contact_id_unique.sql applied. Partial UNIQUE index investors_zoho_contact_id_unique blocks duplicate non-NULL zoho_contact_id; multiple NULLs still allowed for manual rows. Verified by attempted duplicate insert → 23505. Pre-existing investors_zoho_contact_id_key full UNIQUE coexists (redundant but harmless). Documented in data_flow_guide.md item 13 + debug_runbook.md "Common errors".</t>
  </si>
  <si>
    <t>Test Cycle Sign-off</t>
  </si>
  <si>
    <t>Sync pipeline fully operational. End-to-end workstream covered Contacts/LLP/Allocation push + reconcile cron + audit. 8/1/2 (Pass/Fail/Skip) on UI cases (UAT-by-data). 5 new defects logged. Visual parity not re-verified this run.</t>
  </si>
  <si>
    <t>Cycle</t>
  </si>
  <si>
    <t>Pre-launch 2026-05-05</t>
  </si>
  <si>
    <t>Build / commit</t>
  </si>
  <si>
    <t>&lt;fill in&gt;</t>
  </si>
  <si>
    <t>Test window</t>
  </si>
  <si>
    <t>&lt;start&gt; to &lt;end&gt;</t>
  </si>
  <si>
    <t>Exit criteria</t>
  </si>
  <si>
    <t>Criterion</t>
  </si>
  <si>
    <t>Current</t>
  </si>
  <si>
    <t>Target</t>
  </si>
  <si>
    <t>Met?</t>
  </si>
  <si>
    <t>100% of P0 cases passed</t>
  </si>
  <si>
    <t>100% of P1 cases passed</t>
  </si>
  <si>
    <t>Zero open S1 defects</t>
  </si>
  <si>
    <t>Zero open S2 defects (or workaround)</t>
  </si>
  <si>
    <t>Daily UAT clean for 3+ days</t>
  </si>
  <si>
    <t>Signatures</t>
  </si>
  <si>
    <t>Role</t>
  </si>
  <si>
    <t>Name</t>
  </si>
  <si>
    <t>Test lead</t>
  </si>
  <si>
    <t>Engineering</t>
  </si>
  <si>
    <t>Product</t>
  </si>
  <si>
    <t>ARL Tech (final)</t>
  </si>
  <si>
    <t>CRM Module</t>
  </si>
  <si>
    <t>CRM Trigger</t>
  </si>
  <si>
    <t>Supabase Tables</t>
  </si>
  <si>
    <t>Webhook Handler</t>
  </si>
  <si>
    <t>Last Webhook Event</t>
  </si>
  <si>
    <t>Last Row updated_at</t>
  </si>
  <si>
    <t>Drift Confirmed (Y/N)</t>
  </si>
  <si>
    <t>Linked Defect</t>
  </si>
  <si>
    <t>Contacts</t>
  </si>
  <si>
    <t>Investor create/update (auth lifecycle: KYC, bank, profile flags)</t>
  </si>
  <si>
    <t>investors</t>
  </si>
  <si>
    <t>handleContact()</t>
  </si>
  <si>
    <t>2026-05-11T10:39Z status=processed (Push_Contact_To_Supabase Deluge)</t>
  </si>
  <si>
    <t>2026-04-29T20:57:35Z (Sahil Mohite)</t>
  </si>
  <si>
    <t>N (handler + reconcile both verified writing last_synced_at)</t>
  </si>
  <si>
    <t>LLP_Creation_Module</t>
  </si>
  <si>
    <t>LLP create/update (legal metadata + project operational fields)</t>
  </si>
  <si>
    <t>llps + projects</t>
  </si>
  <si>
    <t>handleProject()</t>
  </si>
  <si>
    <t>2026-05-11T10:42Z status=processed (manual fire post UAT LLP create)</t>
  </si>
  <si>
    <t>llps 2026-04-29T20:57:35Z / projects 2026-04-29T20:39:04Z</t>
  </si>
  <si>
    <t>N (LLP fields populated; is_listed_in_marketplace gap → DEF-2026-05-11-01)</t>
  </si>
  <si>
    <t>LLP_UnitAllocation_Module</t>
  </si>
  <si>
    <t>Allocation create/update (units, capital, payment status, payouts)</t>
  </si>
  <si>
    <t>investor_units (+ payouts, notifications side effects)</t>
  </si>
  <si>
    <t>handleAllocation()</t>
  </si>
  <si>
    <t>2026-05-11T10:42Z status=processed (allocation create via webhook)</t>
  </si>
  <si>
    <t>investor_units 2026-04-29T16:23-16:59Z; payouts=0; notifications=0</t>
  </si>
  <si>
    <t>N (allocation_status + dates landing post asNumber+asDate patches)</t>
  </si>
  <si>
    <t>DEF-2026-05-07-02 + DEF-2026-05-07-03</t>
  </si>
  <si>
    <t>Attachments (gallery)</t>
  </si>
  <si>
    <t>Daily pull cron 06:00 IST (gallery-sync function)</t>
  </si>
  <si>
    <t>gallery_photos + Storage bucket arl-gallery</t>
  </si>
  <si>
    <t>gallery-sync (pull, not webhook)</t>
  </si>
  <si>
    <t>(unchanged — gallery-sync cron 06:00 IST daily)</t>
  </si>
  <si>
    <t>gallery_photos visibility RLS-blocked from this query</t>
  </si>
  <si>
    <t>Unknown (not re-investigated this week)</t>
  </si>
  <si>
    <t>Notes:</t>
  </si>
  <si>
    <t>- All "Last Webhook Event" rows reflect webhook_log being completely empty (0 total rows) as of 2026-05-07. Either Zoho workflows are not configured to POST to /functions/v1/zoho-crm-webhook, or they are POSTing with a wrong X-ARL-Webhook-Secret (rejected before logging).</t>
  </si>
  <si>
    <t>- After migrations 023 + 024 land + Zoho workflows are configured, expect: webhook_log rows arriving within seconds of CRM edits, llps/projects/investors/investor_units.last_synced_at populated, and zoho-reconcile-daily as fallback at 01:00 UTC.</t>
  </si>
  <si>
    <t>- sync-stale-alert (hourly) writes to public.sync_alerts when max(last_synced_at) exceeds per-table thresholds (llps/projects 24h, investors 6h, investor_units 2h).</t>
  </si>
  <si>
    <t>Flutter Feature Audit — current implementation</t>
  </si>
  <si>
    <t>End-to-end audit of every screen under lib/features/ (Growize / ARL Investor Portal). Pass = wired with real Supabase + live navigation. Partial = wired but data/action stubbed. Fail = dead screen, no persistence, or unreachable.</t>
  </si>
  <si>
    <t>Analyzer baseline: 'No issues found' (per analyze_output.txt). Tested on 2026-05-12.</t>
  </si>
  <si>
    <t>Feature</t>
  </si>
  <si>
    <t>Screen</t>
  </si>
  <si>
    <t>User Journey</t>
  </si>
  <si>
    <t>Last Tested</t>
  </si>
  <si>
    <t>Summary</t>
  </si>
  <si>
    <t>auth</t>
  </si>
  <si>
    <t>AuthScreen (auth_screen.dart)</t>
  </si>
  <si>
    <t>Routed at /auth (public). Entry to Sign In + Get Started. SessionManager handles real Supabase auth. Dev bypass flag (ARL_DEV_BYPASS=true) works for design preview.</t>
  </si>
  <si>
    <t>User opens app unauthenticated → AuthScreen renders 'Growize' title with two buttons. 'Sign In' routes to /login. 'Get Started' routes to /setup. After successful auth, GoRouter refresh redirects to /.</t>
  </si>
  <si>
    <t>2026-05-12</t>
  </si>
  <si>
    <t>Total</t>
  </si>
  <si>
    <t>LoginScreen (login_screen.dart)</t>
  </si>
  <si>
    <t>Email/password + email OTP fallback, password reset modal. Calls real Supabase signInWithEmailPassword / signInWithOtp / verifyEmailOtp / requestPasswordReset.</t>
  </si>
  <si>
    <t>From /auth tap Sign In → /login. User enters email+password and submits, OR switches to OTP mode (enter email, request OTP, enter code). On success, SessionManager fires authStateChange → router redirects to /home. 'Forgot password' opens reset modal that hits Supabase.</t>
  </si>
  <si>
    <t>InitialSetupScreen (setup_screen.dart)</t>
  </si>
  <si>
    <t>3-step wizard now persists on submit via InvestorRepository.upsertOnboarding -&gt; investors row keyed to auth.uid(). Validators: PAN ^[A-Z]{5}[0-9]{4}[A-Z]$, Aadhaar 12 digits, IFSC ^[A-Z]{4}0[A-Z0-9]{6}$, account 9-18 digits, DOB DD-MM-YYYY not in future, email regex. Inline errors via TextFormField + AutovalidateMode.onUserInteraction. PAN/Aadhaar/account stored as masked tail only - full numbers never reach DB. Migration 027: INSERT + UPDATE RLS for own row, GRANT to authenticated, arl_id nullable. Submit -&gt; snackbar + go(home). Analyzer clean. Documented in ops_admin_guide.md §6.3 Investor self-onboarding (InitialSetupScreen).</t>
  </si>
  <si>
    <t>From /auth tap 'Get Started' -&gt; /setup. Step 1 collects full name, email (pre-filled from auth user), DOB; Continue validates inline. Step 2 collects PAN (auto-uppercased) + Aadhaar (digits only, max 12). Step 3 collects bank name, IFSC, account, holder name. Submit shows spinner, calls upsertOnboarding which writes id, name, email, kyc_status='pending', date_of_birth, plus masked pan/aadhaar/account, bank_name, bank_ifsc, bank_holder_name. Success -&gt; currentInvestorProvider invalidated, snackbar, go(home).</t>
  </si>
  <si>
    <t>Partial</t>
  </si>
  <si>
    <t>BiometricScreen (biometric_screen.dart)</t>
  </si>
  <si>
    <t>Registered at /biometric outside the ShellRoute (full-screen, no bottom nav). Pops with bool result: true on biometric success, false on cancel. Reached as an enrollment gate from SecurityScreen when the Biometric Login toggle is turned on; the persisted biometric_enabled flag flips only after a real BiometricGuard check passes. Legacy direct-entry path still routes to home on success. Analyzer clean. Documented in ops_admin_guide.md §6.2 Biometric enrollment gate (BiometricScreen).</t>
  </si>
  <si>
    <t>From SecurityScreen, toggle Biometric Login ON -&gt; BiometricScreen pushed full-screen. Fingerprint icon, 'Verify to continue', auto-attempts local_auth on open. On success, screen pops with true and SecurityScreen persists biometric_enabled=true via UserSettingsRepository. On cancel/fail, pops with false and the switch reverts. Turning the toggle OFF persists directly without another biometric prompt.</t>
  </si>
  <si>
    <t>SessionManager (core/auth/session_manager.dart)</t>
  </si>
  <si>
    <t>authStateChanges stream powers GoRouterRefreshStream. isLoggedInProvider drives redirect logic. Public routes set: /auth, /login, /setup.</t>
  </si>
  <si>
    <t>Not a screen — backbone. Any auth change emits → router re-evaluates redirect → users on private routes when logged-out get bounced to /auth, and vice versa.</t>
  </si>
  <si>
    <t>home</t>
  </si>
  <si>
    <t>HomeScreen (home_screen.dart)</t>
  </si>
  <si>
    <t>Routed at /. Dashboard with greeting, project selector pill, portfolio card, project progress, quick stats. Calls portfolio_summary view via financials repository. AsyncValue handled with skeletons. Falls back to demoPortfolioSummary for unauthenticated preview.</t>
  </si>
  <si>
    <t>Default landing after login. Skeleton shows briefly → renders greeting using investor first name, then PortfolioCard (total invested / returns / units / ROI), ProjectProgressCard (allocation by project), QuickStatsRow. Tapping the project selector pill at top routes to /project-selector to scope dashboard data.</t>
  </si>
  <si>
    <t>PortfolioCard / ProjectProgressCard / QuickStatsRow</t>
  </si>
  <si>
    <t>Pure stateless widgets; consume PortfolioSummary from provider. No own backend.</t>
  </si>
  <si>
    <t>Sub-widgets of HomeScreen only. Always rendered together with the same provider data.</t>
  </si>
  <si>
    <t>projects</t>
  </si>
  <si>
    <t>ProjectsListScreen (projects_list_screen.dart)</t>
  </si>
  <si>
    <t>Routed at /projects. projectsProvider queries supabase.from('projects'). Demo fallback for unauthenticated only.</t>
  </si>
  <si>
    <t>Tap Projects in bottom nav → list of cards (one per investor's project) with name, progress bar, invested amount, status pill. Tap a card → /projects/:id ProjectDetailScreen.</t>
  </si>
  <si>
    <t>ProjectDetailScreen (project_detail_screen.dart)</t>
  </si>
  <si>
    <t>Routed at /projects/:id. Uses projectByIdProvider + investorAllocationProvider + investorUnitsListProvider + projectPhasesProvider — all real Supabase.</t>
  </si>
  <si>
    <t>Reached from list tap. Shows project header, phase timeline (feature-gated, hidden 6mo post-investment), investment breakdown (units × unit_value), annual yield. Button 'View Area' pushes /location/:projectId.</t>
  </si>
  <si>
    <t>ProjectSelectorScreen (project_selector_screen.dart)</t>
  </si>
  <si>
    <t>Routed at /project-selector. Updates selectedProjectIdProvider used by Home + Financials + Gallery for scoping.</t>
  </si>
  <si>
    <t>Reached from project pill on Home/Financials. Shows 'All Projects' option + list of investor's projects. Tap to select → updates selectedProjectIdProvider → caller screens recompute → pops back.</t>
  </si>
  <si>
    <t>LocationScreen (location_screen.dart)</t>
  </si>
  <si>
    <t>Routed at /location/:projectId. Static placeholder map + region attributes (climate, soil, water). No real geolocation or tile rendering.</t>
  </si>
  <si>
    <t>From ProjectDetailScreen 'View Area' button. Shows static 'map' image + textual region info. No interactive map (Mapbox/Google Maps not integrated). Back button returns to project detail.</t>
  </si>
  <si>
    <t>financials</t>
  </si>
  <si>
    <t>FinancialsScreen (financials_screen.dart)</t>
  </si>
  <si>
    <t>Routed at /financials. Two tabs: Payouts (real payouts table query joined with projects) and Financials (portfolio_summary view + computed projections). Reactive to selectedProjectIdProvider.</t>
  </si>
  <si>
    <t>Tap Financials tab in bottom nav. Tab 1 'Payouts': ledger of bank transfers with UTR ref or 'Awaiting transfer' status, This-FY earnings card, tax info banner. Tab 2 'Financials': capital invested vs returns, risk/return quadrant scatter, 5-year earnings outlook bars. Top button 'All Projects' opens /project-selector for scoping.</t>
  </si>
  <si>
    <t>explore</t>
  </si>
  <si>
    <t>ExploreScreen (explore_screen.dart)</t>
  </si>
  <si>
    <t>'Request Consultation' CTA now writes a row to consultation_requests via ConsultationRequestsRepository (RLS scoped to auth.uid()). Button shows a spinner and is disabled in-flight; 24h dedup check first - if the same user has an open 'new' request for this project within 24h, no duplicate insert is made and the toast says we already have the request. Migration 028 adds the table + RLS + indexes. Analyzer clean. Documented in ops_admin_guide.md §6.4 Consultation requests (ExploreScreen).</t>
  </si>
  <si>
    <t>Tap Explore in bottom nav -&gt; filter pills + grid of marketplace projects. Open one, choose unit count via slider/custom input, then tap 'Request Consultation'. Button swaps for an inline spinner, ConsultationRequestsRepository.createConsultation runs the 24h dedup query, then either inserts a new row or returns the existing one. Toast confirms the submission. Subsequent taps within 24h surface the friendly 'already requested' message instead of duplicating.</t>
  </si>
  <si>
    <t>gallery</t>
  </si>
  <si>
    <t>GalleryScreen (gallery_screen.dart)</t>
  </si>
  <si>
    <t>Routed at /gallery. galleryProvider scoped by selectedProjectIdProvider, queries gallery_photos table + batch signed URLs via StorageHelper. CachedNetworkImage for tiles.</t>
  </si>
  <si>
    <t>Tap Gallery in bottom nav. Photos grouped by date (newest first), 3-column grid. Banner: 'Photos captured daily at 9:00 AM IST'. Tiles show #index badge. NO tap handler on tiles — cannot open lightbox or see captions. Empty state for projects with no photos.</t>
  </si>
  <si>
    <t>documents</t>
  </si>
  <si>
    <t>DocumentsScreen (documents_screen.dart)</t>
  </si>
  <si>
    <t>Routed at /documents. documentsProvider calls DocumentsRepository.myDocuments() → supabase.from('documents') + signed URLs. Hive offline cache. Read-only.</t>
  </si>
  <si>
    <t>Tap Documents in bottom nav OR from Profile menu. Accordion sections by category (Legal Agreements / Contracts / KYC / Other). Tap section → expands list of files (name, upload date, size). Eye icon → opens signed URL in external browser via url_launcher. Offline mode uses cached metadata.</t>
  </si>
  <si>
    <t>activity</t>
  </si>
  <si>
    <t>ActivityScreen (activity_screen.dart)</t>
  </si>
  <si>
    <t>Routed at /activity. Two views: Notifications (real Supabase via activityRepository) + Activity History (intentionally stubbed). unreadCountProvider + markAllRead wired.</t>
  </si>
  <si>
    <t>Tap Activity in bottom nav. Default 'Notifications' view: cards colored by type (payout=gold, success=green, warning=orange) with optional CTA. CTA from metadata.cta_route navigates to /projects/:id etc. Filter chips (All / Operational / Payouts). Toggle to 'History' view — empty state for authenticated users (stubbed); demo timeline for unauthenticated preview.</t>
  </si>
  <si>
    <t>profile</t>
  </si>
  <si>
    <t>ProfileScreen (profile_screen.dart)</t>
  </si>
  <si>
    <t>Routed at /profile. currentInvestorProvider + projectsProvider + portfolioSummaryProvider all live. Hive cache fallback for investor row.</t>
  </si>
  <si>
    <t>Tap Profile in bottom nav. Header: avatar initials + name + KYC badge + project count + invested amount. 'Active Projects' card. Account section: KYC Details → /kyc, Bank Details → /bank-details, Documents → /documents. Support section: Assistance → /support, Project Exit → /exit, Security → /security, Replay Tour (resets tutorialSeenProvider). Sign Out button at bottom calls SessionManager.signOut().</t>
  </si>
  <si>
    <t>KycScreen (kyc_screen.dart)</t>
  </si>
  <si>
    <t>Routed at /kyc. Read-only display via currentInvestorProvider. Status banner switch on kyc_status (verified/in_progress/rejected/pending). 'Re-submit KYC' button is a STUB (snackbar prompting contact support).</t>
  </si>
  <si>
    <t>From Profile tap 'KYC Details' → /kyc. Status banner with icon + color (e.g. 'KYC Verified · Verified on 2026-03-12'). Read-only fields: Full Name (with Verified pill if applicable), PAN masked, Aadhaar masked, DOB, Address. If rejected, 'Re-submit KYC' button shows 'Please contact support' snackbar — no actual resubmit flow.</t>
  </si>
  <si>
    <t>BankDetailsScreen (bank_details_screen.dart)</t>
  </si>
  <si>
    <t>Routed at /bank-details. Investor bank fields + inline FutureProvider for bank_change_requests. Submit calls supportRepository.requestBankChange → Edge Function fnBankChangeRequest. Invalidation on success.</t>
  </si>
  <si>
    <t>From Profile tap 'Bank Details' → /bank-details. Shows account holder, bank, masked account, IFSC in one card. Verified pill if KYC verified. Amber banner if pending change request exists. 'Update Bank Account' opens bottom sheet (Bank / Account / IFSC / Holder fields). Submit calls Edge Function → success snackbar + invalidates currentInvestorProvider; error mapped to 429=dupe / 400=invalid.</t>
  </si>
  <si>
    <t>SecurityScreen (security_screen.dart)</t>
  </si>
  <si>
    <t>Toggles (biometric, notifications) persist to user_settings via UserSettingsRepository on Supabase (RLS-scoped to auth.uid). App PIN: set/change/remove flow stores salted client-side SHA-256 iterated hash (never plaintext) keyed off auth user. Last-login + login history rendered from login_events table written on every AuthChangeEvent.signedIn. Migration 026 adds user_settings + login_events with RLS. Analyzer clean. Documented in ops_admin_guide.md §6.1 Security &amp; PIN (SecurityScreen).</t>
  </si>
  <si>
    <t>From Profile tap 'Security' -&gt; /security. Toggling Biometric or Notifications writes to user_settings and the row reloads. Tapping 'App PIN' opens a flow: if no PIN, prompt twice and save the hash; if set, sheet offers Change (current+new) or Remove. Login History card lists recent sign-ins from login_events with timestamp + device. Last login reflects newest login_events row.</t>
  </si>
  <si>
    <t>support</t>
  </si>
  <si>
    <t>SupportScreen (support_screen.dart)</t>
  </si>
  <si>
    <t>Routed at /support. _ticketsProvider calls supportRepository.myTickets(). Falls back to mockSupportTickets if real list is empty (note: masks backend errors as 'empty').</t>
  </si>
  <si>
    <t>From Profile tap 'Assistance' → /support. Primary CTA 'Raise a Ticket' → /new-ticket. 'My Tickets' list with status badges and dates. Tap any ticket → /ticket/:id.</t>
  </si>
  <si>
    <t>TicketDetailScreen (ticket_detail_screen.dart)</t>
  </si>
  <si>
    <t>Routed at /ticket/:ticketId. ticketByIdProvider + ticketMessagesProvider (Supabase support_tickets + ticket_messages). Reply via Edge Function fnReplyTicket; invalidates messages on success.</t>
  </si>
  <si>
    <t>From SupportScreen tap a ticket → /ticket/:id. AppBar: subject + status chip. Conversation thread: investor messages cream-left, support messages green-right, with timestamps (.toLocal()). Reply box at bottom with send icon. If status=resolved, reply box replaced by 'This ticket is closed' banner. 404 pops back to /support.</t>
  </si>
  <si>
    <t>NewTicketScreen (new_ticket_screen.dart)</t>
  </si>
  <si>
    <t>Routed at /new-ticket. Form calls supportRepository.createTicket → Edge Function fnCreateTicket. Category dropdown maps user labels to backend enum (payout/documents/general/etc).</t>
  </si>
  <si>
    <t>From SupportScreen tap 'Raise a Ticket' → /new-ticket. Form: Subject text input, Category dropdown (default 'Payout Issue'), Description textarea. Submit disables button + shows spinner. Success: snackbar 'Ticket submitted successfully' + pops to /support. Error: 'Failed to submit: &lt;msg&gt;' snackbar.</t>
  </si>
  <si>
    <t>exit</t>
  </si>
  <si>
    <t>ExitScreen (exit_screen.dart)</t>
  </si>
  <si>
    <t>'Request Exit' CTA now opens a reason dialog and writes to exit_requests via ExitRequestsRepository (RLS scoped to auth.uid()). FK is investor_unit_id pulled from the earliest investor_units row. DB-level partial unique index (investor_unit_id WHERE status='pending') is the race-safe dedup; client catches Postgrest 23505 and surfaces the existing pending row. After submit the screen flips to a 'pending review' card with the submission date - the CTA is no longer shown until staff moves status off pending. Migration 029. Analyzer clean. Documented in ops_admin_guide.md §6.5 Exit requests (ExitScreen).</t>
  </si>
  <si>
    <t>From Profile tap 'Project Exit' -&gt; /exit. Sees investment date, lock-in end date, eligibility chip (locked yellow vs eligible green). If a pending exit_request already exists for the earliest investor_unit, the bottom card shows 'Exit request pending review' with the submission date and the CTA is hidden. Otherwise the CTA is enabled iff the lock-in has passed; tapping opens a reason dialog (3-line text, optional). Submit shows a spinner, posts to exit_requests with status='pending', invalidates the pending provider, snackbar confirms - card flips to the submitted state.</t>
  </si>
  <si>
    <t>onboarding</t>
  </si>
  <si>
    <t>TutorialOverlay (tutorial_overlay.dart)</t>
  </si>
  <si>
    <t>NOT routed — mounted inside MainScaffold. Visibility via shouldShowTutorialProvider. tutorialSeenProvider persisted in Hive. Replay via Profile button.</t>
  </si>
  <si>
    <t>On first launch (or for users with no allocations), full-screen overlay appears over Home with semi-transparent backdrop. 4-step carousel (Welcome / Track Projects / Payouts / Discover) with sample mock data ('₹1.20 Cr', 'Pineapple Enterprises'). Skip or step-through; final step 'Get Started' sets tutorialSeenProvider=true. Won't show again unless user taps Replay Tour in Profile.</t>
  </si>
  <si>
    <t>gating</t>
  </si>
  <si>
    <t>ForceUpdateScreen (force_update_screen.dart)</t>
  </si>
  <si>
    <t>NOT in router — main.dart checks gateStatusProvider and replaces app root if gate != ok. appConfigRepository.all() reads app_config table (min_app_version, maintenance_mode). Semantic version parser.</t>
  </si>
  <si>
    <t>On launch, if current app version &lt; min_app_version, app root is replaced with ForceUpdateScreen showing current vs required version + 'Update now' button (opens Play Store via url_launcher). Cannot bypass; no Remind Me Later.</t>
  </si>
  <si>
    <t>MaintenanceScreen (maintenance_screen.dart)</t>
  </si>
  <si>
    <t>Same gate path as ForceUpdate but triggered by maintenance_mode=true in app_config.</t>
  </si>
  <si>
    <t>On launch, if maintenance_mode=true, app root is replaced with MaintenanceScreen showing message + 'Retry' button. Retry re-evaluates gateStatusProvider with spinner; if gate clears, app proceeds. No ETA shown.</t>
  </si>
  <si>
    <t>Item</t>
  </si>
  <si>
    <t>Notes / pointer</t>
  </si>
  <si>
    <t>Env config — dart-define-from-file</t>
  </si>
  <si>
    <t>Done</t>
  </si>
  <si>
    <t>ARL eng</t>
  </si>
  <si>
    <t>lib/core/constants/supabase_constants.dart, .env.example, .gitignore. Decision: 2026-05-13_env-dart-define-refactor.md</t>
  </si>
  <si>
    <t>Sentry removed</t>
  </si>
  <si>
    <t>pubspec, main.dart, proguard cleaned. Re-add path documented. Decision: 2026-05-13_remove-sentry.md</t>
  </si>
  <si>
    <t>Privacy Policy + Terms + consent flow</t>
  </si>
  <si>
    <t>Template copy in lib/features/legal/legal_content.dart. Migration 030. Decision: 2026-05-13_legal-consent-flow.md</t>
  </si>
  <si>
    <t>Android release-signing scaffold</t>
  </si>
  <si>
    <t>android/key.properties.example + build.gradle.kts already wired. Decision: 2026-05-13_android-release-signing.md</t>
  </si>
  <si>
    <t>iOS bundle metadata + permission strings</t>
  </si>
  <si>
    <t>Bundle id com.agresearchlabs.growize, display name Growize, Face ID / camera / photos / location strings. Decision: 2026-05-13_ios-bundle-metadata.md</t>
  </si>
  <si>
    <t>Web build polish (manifest, robots, theme)</t>
  </si>
  <si>
    <t>web/manifest.json, web/index.html, web/robots.txt. Decision: 2026-05-13_web-build-polish.md</t>
  </si>
  <si>
    <t>Ops doc Part 8 — Launch readiness</t>
  </si>
  <si>
    <t>docs/ops_admin_guide.md §8.1–§8.8</t>
  </si>
  <si>
    <t>Generate real Android release keystore + back up .jks</t>
  </si>
  <si>
    <t>TODO — user action</t>
  </si>
  <si>
    <t>ARL ops</t>
  </si>
  <si>
    <t>Run the keytool command in §8.3 once. Save .jks to password manager.</t>
  </si>
  <si>
    <t>Apple Developer enrolment ($99/year)</t>
  </si>
  <si>
    <t>Required for any iOS distribution. Personal vs Organization decision per §8.5.</t>
  </si>
  <si>
    <t>Pick + provision web host (Netlify recommended)</t>
  </si>
  <si>
    <t>Netlify drop is the recommended first iteration. See §8.4.</t>
  </si>
  <si>
    <t>Apply migration 030 to remote Supabase</t>
  </si>
  <si>
    <t>supabase db push --linked</t>
  </si>
  <si>
    <t>Legal counsel review of PP + ToS template copy</t>
  </si>
  <si>
    <t>ARL legal</t>
  </si>
  <si>
    <t>lib/features/legal/legal_content.dart. Template banner explicit about needing review.</t>
  </si>
  <si>
    <t>Confirm or change jurisdiction city/state</t>
  </si>
  <si>
    <t>Currently Bangalore / Karnataka placeholder in LegalDocs.jurisdictionCity/State.</t>
  </si>
  <si>
    <t>Email-test signed APK to a single investor</t>
  </si>
  <si>
    <t>Smoke-test side-load before broad email.</t>
  </si>
  <si>
    <t>Spot-check deployed web URL on a real investor device</t>
  </si>
  <si>
    <t>Confirm Supabase auth flow + KYC submit on the deployed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</si>
</sst>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color theme="1"/>
      <family val="2"/>
      <scheme val="minor"/>
      <sz val="11"/>
      <name val="Calibri"/>
    </font>
    <font>
      <charset val="1"/>
      <color theme="1"/>
      <family val="2"/>
      <sz val="11"/>
      <name val="Calibri"/>
    </font>
    <font>
      <b/>
      <charset val="1"/>
      <color rgb="FF0F1A15"/>
      <sz val="16"/>
      <name val="Arial"/>
    </font>
    <font>
      <charset val="1"/>
      <sz val="10"/>
      <name val="Arial"/>
    </font>
    <font>
      <b/>
      <charset val="1"/>
      <color rgb="FF3C5152"/>
      <sz val="12"/>
      <name val="Arial"/>
    </font>
    <font>
      <b/>
      <charset val="1"/>
      <color rgb="FFFFFFFF"/>
      <sz val="11"/>
      <name val="Arial"/>
    </font>
    <font>
      <b/>
      <charset val="1"/>
      <sz val="10"/>
      <name val="Arial"/>
    </font>
    <font>
      <b/>
    </font>
    <font>
      <b/>
      <color rgb="000F1A15"/>
      <sz val="14"/>
      <name val="Arial"/>
    </font>
    <font>
      <i/>
      <color rgb="006B7280"/>
      <sz val="10"/>
      <name val="Arial"/>
    </font>
    <font>
      <b/>
      <color rgb="00FFFFFF"/>
      <sz val="11"/>
      <name val="Arial"/>
    </font>
    <font>
      <b/>
      <sz val="11"/>
      <name val="Arial"/>
    </font>
    <font>
      <sz val="10"/>
      <name val="Arial"/>
    </font>
    <font>
      <b/>
      <sz val="10"/>
      <name val="Arial"/>
    </font>
    <font>
      <b/>
      <color rgb="FFFFFFFF"/>
    </font>
  </fonts>
  <fills count="12">
    <fill>
      <patternFill patternType="none"/>
    </fill>
    <fill>
      <patternFill patternType="gray125"/>
    </fill>
    <fill>
      <patternFill/>
    </fill>
    <fill>
      <patternFill patternType="solid">
        <fgColor rgb="FF3C5152"/>
        <bgColor rgb="FF333399"/>
      </patternFill>
    </fill>
    <fill>
      <patternFill patternType="solid">
        <fgColor rgb="003C5152"/>
      </patternFill>
    </fill>
    <fill>
      <patternFill patternType="solid">
        <fgColor rgb="00C8E6C9"/>
      </patternFill>
    </fill>
    <fill>
      <patternFill patternType="solid">
        <fgColor rgb="00FAFAF7"/>
      </patternFill>
    </fill>
    <fill>
      <patternFill patternType="solid">
        <fgColor rgb="00FFE0B2"/>
      </patternFill>
    </fill>
    <fill>
      <patternFill patternType="solid">
        <fgColor rgb="00FFCDD2"/>
      </patternFill>
    </fill>
    <fill>
      <patternFill patternType="solid">
        <fgColor rgb="FF3C5152"/>
      </patternFill>
    </fill>
    <fill>
      <patternFill patternType="solid">
        <fgColor rgb="FFDFF0D8"/>
      </patternFill>
    </fill>
    <fill>
      <patternFill patternType="solid">
        <fgColor rgb="FFFCF8E3"/>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00C0C0C0"/>
      </left>
      <right style="thin">
        <color rgb="00C0C0C0"/>
      </right>
      <top style="thin">
        <color rgb="00C0C0C0"/>
      </top>
      <bottom style="thin">
        <color rgb="00C0C0C0"/>
      </bottom>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2" fillId="2" borderId="0" xfId="0" applyFont="1" applyFill="1" applyAlignment="1">
      <alignment vertical="bottom"/>
    </xf>
    <xf numFmtId="0" fontId="3" fillId="2" borderId="0" xfId="0" applyFont="1" applyFill="1" applyAlignment="1">
      <alignment vertical="bottom"/>
    </xf>
    <xf numFmtId="0" fontId="4" fillId="2" borderId="0" xfId="0" applyFont="1" applyFill="1" applyAlignment="1">
      <alignment vertical="bottom"/>
    </xf>
    <xf numFmtId="0" fontId="5" fillId="3" borderId="1" xfId="0" applyFont="1" applyFill="1" applyBorder="1" applyAlignment="1">
      <alignment horizontal="center" vertical="center" wrapText="1"/>
    </xf>
    <xf numFmtId="0" fontId="3" fillId="2" borderId="1" xfId="0" applyFont="1" applyFill="1" applyBorder="1" applyAlignment="1">
      <alignment vertical="bottom"/>
    </xf>
    <xf numFmtId="164" fontId="3" fillId="2" borderId="1" xfId="0" applyNumberFormat="1" applyFont="1" applyFill="1" applyBorder="1" applyAlignment="1">
      <alignment vertical="bottom"/>
    </xf>
    <xf numFmtId="0" fontId="6" fillId="2" borderId="1" xfId="0" applyFont="1" applyFill="1" applyBorder="1" applyAlignment="1">
      <alignment vertical="top" wrapText="1"/>
    </xf>
    <xf numFmtId="0" fontId="3" fillId="2" borderId="1" xfId="0" applyFont="1" applyFill="1" applyBorder="1" applyAlignment="1">
      <alignment vertical="top"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6" fillId="2" borderId="1" xfId="0" applyFont="1" applyFill="1" applyBorder="1" applyAlignment="1">
      <alignment vertical="bottom"/>
    </xf>
    <xf numFmtId="164" fontId="6" fillId="2" borderId="1" xfId="0" applyNumberFormat="1" applyFont="1" applyFill="1" applyBorder="1" applyAlignment="1">
      <alignment horizontal="center" vertical="center" wrapText="1"/>
    </xf>
    <xf numFmtId="0" fontId="7" fillId="2" borderId="0" xfId="0" applyFont="1" applyFill="1"/>
    <xf numFmtId="0" fontId="7" fillId="2" borderId="0" xfId="0" applyFont="1" applyFill="1" applyAlignment="1">
      <alignment vertical="center"/>
    </xf>
    <xf numFmtId="0" fontId="0" fillId="2" borderId="0" xfId="0" applyFill="1" applyAlignment="1">
      <alignment vertical="top" wrapText="1"/>
    </xf>
    <xf numFmtId="0" fontId="8" fillId="2" borderId="0" xfId="0" applyFont="1" applyFill="1"/>
    <xf numFmtId="0" fontId="9" fillId="2" borderId="0" xfId="0" applyFont="1" applyFill="1" applyAlignment="1">
      <alignment vertical="top" wrapText="1"/>
    </xf>
    <xf numFmtId="0" fontId="9" fillId="2" borderId="0" xfId="0" applyFont="1" applyFill="1"/>
    <xf numFmtId="0" fontId="10" fillId="4" borderId="2" xfId="0" applyFont="1" applyFill="1" applyBorder="1" applyAlignment="1">
      <alignment horizontal="center" vertical="center"/>
    </xf>
    <xf numFmtId="0" fontId="11" fillId="2" borderId="0" xfId="0" applyFont="1" applyFill="1"/>
    <xf numFmtId="0" fontId="12" fillId="2" borderId="2" xfId="0" applyFont="1" applyFill="1" applyBorder="1" applyAlignment="1">
      <alignment horizontal="left" vertical="top" wrapText="1"/>
    </xf>
    <xf numFmtId="0" fontId="13" fillId="5" borderId="2" xfId="0" applyFont="1" applyFill="1" applyBorder="1" applyAlignment="1">
      <alignment horizontal="center" vertical="center"/>
    </xf>
    <xf numFmtId="0" fontId="12" fillId="2" borderId="0" xfId="0" applyFont="1" applyFill="1"/>
    <xf numFmtId="0" fontId="12" fillId="2" borderId="0" xfId="0" applyFont="1" applyFill="1" applyAlignment="1">
      <alignment horizontal="center" vertical="center"/>
    </xf>
    <xf numFmtId="0" fontId="12" fillId="6" borderId="2" xfId="0" applyFont="1" applyFill="1" applyBorder="1" applyAlignment="1">
      <alignment horizontal="left" vertical="top" wrapText="1"/>
    </xf>
    <xf numFmtId="0" fontId="13" fillId="7" borderId="2" xfId="0" applyFont="1" applyFill="1" applyBorder="1" applyAlignment="1">
      <alignment horizontal="center" vertical="center"/>
    </xf>
    <xf numFmtId="0" fontId="13" fillId="8" borderId="2" xfId="0" applyFont="1" applyFill="1" applyBorder="1" applyAlignment="1">
      <alignment horizontal="center" vertical="center"/>
    </xf>
    <xf numFmtId="0" fontId="14" fillId="9" borderId="0" xfId="0" applyFont="1" applyFill="1" applyAlignment="1">
      <alignment vertical="top" wrapText="1"/>
    </xf>
    <xf numFmtId="0" fontId="0" fillId="0" borderId="0" xfId="0" applyAlignment="1">
      <alignment vertical="top" wrapText="1"/>
    </xf>
    <xf numFmtId="0" fontId="0" fillId="10" borderId="0" xfId="0" applyFill="1" applyAlignment="1">
      <alignment vertical="top" wrapText="1"/>
    </xf>
    <xf numFmtId="0" fontId="0" fillId="11" borderId="0" xfId="0" applyFill="1" applyAlignment="1">
      <alignment vertical="top" wrapText="1"/>
    </xf>
  </cellXfs>
  <cellStyles count="1">
    <cellStyle name="Normal" xfId="0" builtinId="0"/>
  </cellStyles>
  <dxfs count="17">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FFE0B2"/>
        </patternFill>
      </fill>
    </dxf>
    <dxf>
      <fill>
        <patternFill>
          <bgColor rgb="FFE1DFC6"/>
        </patternFill>
      </fill>
    </dxf>
    <dxf>
      <fill>
        <patternFill>
          <bgColor rgb="FFECEFF1"/>
        </patternFill>
      </fill>
    </dxf>
    <dxf>
      <fill>
        <patternFill>
          <bgColor rgb="FFC8E6C9"/>
        </patternFill>
      </fill>
    </dxf>
    <dxf>
      <fill>
        <patternFill>
          <bgColor rgb="FFFFCDD2"/>
        </patternFill>
      </fill>
    </dxf>
    <dxf>
      <fill>
        <patternFill>
          <bgColor rgb="FFE1DFC6"/>
        </patternFill>
      </fill>
    </dxf>
    <dxf>
      <fill>
        <patternFill>
          <bgColor rgb="FFC05640"/>
        </patternFill>
      </fill>
    </dxf>
    <dxf>
      <fill>
        <patternFill>
          <bgColor rgb="FFF2DC6B"/>
        </patternFill>
      </fill>
    </dxf>
    <dxf>
      <fill>
        <patternFill>
          <bgColor rgb="FFFFCDD2"/>
        </patternFill>
      </fill>
    </dxf>
    <dxf>
      <fill>
        <patternFill>
          <bgColor rgb="FFC8E6C9"/>
        </patternFill>
      </fill>
    </dxf>
    <dxf>
      <fill>
        <patternFill>
          <bgColor rgb="FFFFE0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49"/>
  <sheetViews>
    <sheetView workbookViewId="0" zoomScale="100" zoomScaleNormal="100" view="normal">
      <selection activeCell="A1" sqref="A1"/>
    </sheetView>
  </sheetViews>
  <sheetFormatPr defaultRowHeight="15" outlineLevelRow="0" outlineLevelCol="0" x14ac:dyDescent="0" defaultColWidth="8.6796875"/>
  <cols>
    <col min="1" max="1" width="40" style="1" customWidth="1"/>
    <col min="2" max="2" width="16" style="1" customWidth="1"/>
    <col min="3" max="3" width="50" style="1" customWidth="1"/>
    <col min="4" max="6" width="8" style="1" customWidth="1"/>
    <col min="7" max="7" width="10" style="1" customWidth="1"/>
  </cols>
  <sheetData>
    <row r="1" ht="19.5" customHeight="1" spans="1:7" x14ac:dyDescent="0.25">
      <c r="A1" s="2" t="s">
        <v>0</v>
      </c>
      <c r="B1" s="1"/>
      <c r="C1" s="1"/>
      <c r="D1" s="1"/>
      <c r="E1" s="1"/>
      <c r="F1" s="1"/>
      <c r="G1" s="1"/>
    </row>
    <row r="2" ht="15" customHeight="1" spans="1:1" x14ac:dyDescent="0.25">
      <c r="A2" s="3" t="s">
        <v>1</v>
      </c>
    </row>
    <row r="3" ht="15" customHeight="1" spans="1:1" x14ac:dyDescent="0.25">
      <c r="A3" s="3" t="s">
        <v>2</v>
      </c>
    </row>
    <row r="4" ht="15" customHeight="1" spans="1:1" x14ac:dyDescent="0.25">
      <c r="A4" s="3" t="s">
        <v>3</v>
      </c>
    </row>
    <row r="6" ht="15" customHeight="1" spans="1:1" x14ac:dyDescent="0.25">
      <c r="A6" s="4" t="s">
        <v>4</v>
      </c>
    </row>
    <row r="7" ht="15" customHeight="1" spans="1:3" x14ac:dyDescent="0.25">
      <c r="A7" s="5" t="s">
        <v>5</v>
      </c>
      <c r="B7" s="5" t="s">
        <v>6</v>
      </c>
      <c r="C7" s="5" t="s">
        <v>7</v>
      </c>
    </row>
    <row r="8" ht="15" customHeight="1" spans="1:3" x14ac:dyDescent="0.25">
      <c r="A8" s="6" t="s">
        <v>8</v>
      </c>
      <c r="B8" s="6">
        <f>COUNTA('Test Cases'!A4:A1000)</f>
      </c>
      <c r="C8" s="6" t="s">
        <v>9</v>
      </c>
    </row>
    <row r="9" ht="15" customHeight="1" spans="1:3" x14ac:dyDescent="0.25">
      <c r="A9" s="6" t="s">
        <v>10</v>
      </c>
      <c r="B9" s="6">
        <f>COUNTIF('Test Cases'!J4:J1000,"Pass")+COUNTIF('Test Cases'!J4:J1000,"Fail")+COUNTIF('Test Cases'!J4:J1000,"Blocked")+COUNTIF('Test Cases'!J4:J1000,"N/A")</f>
      </c>
      <c r="C9" s="6" t="s">
        <v>11</v>
      </c>
    </row>
    <row r="10" ht="15" customHeight="1" spans="1:3" x14ac:dyDescent="0.25">
      <c r="A10" s="6" t="s">
        <v>12</v>
      </c>
      <c r="B10" s="6">
        <f>COUNTIF('Test Cases'!J4:J1000,"Pass")</f>
      </c>
      <c r="C10" s="6" t="s">
        <v>13</v>
      </c>
    </row>
    <row r="11" ht="15" customHeight="1" spans="1:3" x14ac:dyDescent="0.25">
      <c r="A11" s="6" t="s">
        <v>14</v>
      </c>
      <c r="B11" s="6">
        <f>COUNTIF('Test Cases'!J4:J1000,"Fail")</f>
      </c>
      <c r="C11" s="6" t="s">
        <v>15</v>
      </c>
    </row>
    <row r="12" ht="15" customHeight="1" spans="1:3" x14ac:dyDescent="0.25">
      <c r="A12" s="6" t="s">
        <v>16</v>
      </c>
      <c r="B12" s="6">
        <f>COUNTIF('Test Cases'!J4:J1000,"Blocked")</f>
      </c>
      <c r="C12" s="6" t="s">
        <v>17</v>
      </c>
    </row>
    <row r="13" ht="15" customHeight="1" spans="1:3" x14ac:dyDescent="0.25">
      <c r="A13" s="6" t="s">
        <v>18</v>
      </c>
      <c r="B13" s="6">
        <f>COUNTIF('Test Cases'!J4:J1000,"N/A")</f>
      </c>
      <c r="C13" s="6" t="s">
        <v>19</v>
      </c>
    </row>
    <row r="14" ht="15" customHeight="1" spans="1:3" x14ac:dyDescent="0.25">
      <c r="A14" s="6" t="s">
        <v>20</v>
      </c>
      <c r="B14" s="6">
        <f>COUNTIF('Test Cases'!J4:J1000,"Not Run")</f>
      </c>
      <c r="C14" s="6" t="s">
        <v>21</v>
      </c>
    </row>
    <row r="15" ht="15" customHeight="1" spans="1:3" x14ac:dyDescent="0.25">
      <c r="A15" s="6" t="s">
        <v>22</v>
      </c>
      <c r="B15" s="7">
        <f>IFERROR(B10/(B10+B11),0)</f>
      </c>
      <c r="C15" s="6" t="s">
        <v>23</v>
      </c>
    </row>
    <row r="16" ht="15" customHeight="1" spans="1:3" x14ac:dyDescent="0.25">
      <c r="A16" s="6" t="s">
        <v>24</v>
      </c>
      <c r="B16" s="6">
        <f>COUNTIFS(Defects!I4:I1000,"Open")+COUNTIFS(Defects!I4:I1000,"Triaged")+COUNTIFS(Defects!I4:I1000,"In Progress")+COUNTIFS(Defects!I4:I1000,"Ready to Re-test")</f>
      </c>
      <c r="C16" s="6" t="s">
        <v>25</v>
      </c>
    </row>
    <row r="17" ht="15" customHeight="1" spans="1:3" x14ac:dyDescent="0.25">
      <c r="A17" s="6" t="s">
        <v>26</v>
      </c>
      <c r="B17" s="6">
        <f>COUNTIFS(Defects!G4:G1000,"S1",Defects!I4:I1000,"&lt;&gt;Closed-Pass",Defects!I4:I1000,"&lt;&gt;Closed-Wont Fix",Defects!I4:I1000,"&lt;&gt;Closed-Duplicate")</f>
      </c>
      <c r="C17" s="6" t="s">
        <v>27</v>
      </c>
    </row>
    <row r="18" ht="15" customHeight="1" spans="1:3" x14ac:dyDescent="0.25">
      <c r="A18" s="6" t="s">
        <v>28</v>
      </c>
      <c r="B18" s="6">
        <f>COUNTIFS(Defects!G4:G1000,"S2",Defects!I4:I1000,"&lt;&gt;Closed-Pass",Defects!I4:I1000,"&lt;&gt;Closed-Wont Fix",Defects!I4:I1000,"&lt;&gt;Closed-Duplicate")</f>
      </c>
      <c r="C18" s="6" t="s">
        <v>29</v>
      </c>
    </row>
    <row r="19" ht="15" customHeight="1" spans="1:3" x14ac:dyDescent="0.25">
      <c r="A19" s="6" t="s">
        <v>30</v>
      </c>
      <c r="B19" s="6">
        <f>COUNTIF(Defects!I4:I1000,"Closed-Pass")</f>
      </c>
      <c r="C19" s="6" t="s">
        <v>31</v>
      </c>
    </row>
    <row r="21" ht="15" customHeight="1" spans="1:1" x14ac:dyDescent="0.25">
      <c r="A21" s="4" t="s">
        <v>32</v>
      </c>
    </row>
    <row r="22" ht="15" customHeight="1" spans="1:3" x14ac:dyDescent="0.25">
      <c r="A22" s="5" t="s">
        <v>5</v>
      </c>
      <c r="B22" s="5" t="s">
        <v>6</v>
      </c>
      <c r="C22" s="5" t="s">
        <v>7</v>
      </c>
    </row>
    <row r="23" ht="15" customHeight="1" spans="1:3" x14ac:dyDescent="0.25">
      <c r="A23" s="6" t="s">
        <v>33</v>
      </c>
      <c r="B23" s="6">
        <f>'Daily UAT'!E1</f>
      </c>
      <c r="C23" s="6" t="s">
        <v>34</v>
      </c>
    </row>
    <row r="24" ht="15" customHeight="1" spans="1:3" x14ac:dyDescent="0.25">
      <c r="A24" s="6" t="s">
        <v>35</v>
      </c>
      <c r="B24" s="7">
        <f>IFERROR('Daily UAT'!E22,0)</f>
      </c>
      <c r="C24" s="6" t="s">
        <v>36</v>
      </c>
    </row>
    <row r="25" ht="15" customHeight="1" spans="1:3" x14ac:dyDescent="0.25">
      <c r="A25" s="6" t="s">
        <v>37</v>
      </c>
      <c r="B25" s="6">
        <f>COUNTA('Daily UAT'!A4:A21)</f>
      </c>
      <c r="C25" s="6" t="s">
        <v>38</v>
      </c>
    </row>
    <row r="26" ht="15" customHeight="1" spans="1:3" x14ac:dyDescent="0.25">
      <c r="A26" s="6" t="s">
        <v>39</v>
      </c>
      <c r="B26" s="6">
        <f>COUNTA('Daily UAT'!E2:ZZ2)</f>
      </c>
      <c r="C26" s="6" t="s">
        <v>40</v>
      </c>
    </row>
    <row r="29" ht="15" customHeight="1" spans="1:1" x14ac:dyDescent="0.25">
      <c r="A29" s="4" t="s">
        <v>41</v>
      </c>
    </row>
    <row r="30" ht="26.25" customHeight="1" spans="1:7" x14ac:dyDescent="0.25">
      <c r="A30" s="5" t="s">
        <v>42</v>
      </c>
      <c r="B30" s="5" t="s">
        <v>43</v>
      </c>
      <c r="C30" s="5" t="s">
        <v>44</v>
      </c>
      <c r="D30" s="5" t="s">
        <v>45</v>
      </c>
      <c r="E30" s="5" t="s">
        <v>16</v>
      </c>
      <c r="F30" s="5" t="s">
        <v>20</v>
      </c>
      <c r="G30" s="5" t="s">
        <v>46</v>
      </c>
    </row>
    <row r="31" ht="15" customHeight="1" spans="1:7" x14ac:dyDescent="0.25">
      <c r="A31" s="6" t="s">
        <v>47</v>
      </c>
      <c r="B31" s="6">
        <f>COUNTIF('Test Cases'!A4:A1000,"*-LLP-*")</f>
      </c>
      <c r="C31" s="6">
        <f>COUNTIFS('Test Cases'!A4:A1000,"*-LLP-*",'Test Cases'!J4:J1000,"Pass")</f>
      </c>
      <c r="D31" s="6">
        <f>COUNTIFS('Test Cases'!A4:A1000,"*-LLP-*",'Test Cases'!J4:J1000,"Fail")</f>
      </c>
      <c r="E31" s="6">
        <f>COUNTIFS('Test Cases'!A4:A1000,"*-LLP-*",'Test Cases'!J4:J1000,"Blocked")</f>
      </c>
      <c r="F31" s="6">
        <f>B31-C31-D31-E31-COUNTIFS('Test Cases'!A4:A1000,"*-LLP-*",'Test Cases'!J4:J1000,"N/A")</f>
      </c>
      <c r="G31" s="7">
        <f>IFERROR(C31/(C31+D31),0)</f>
      </c>
    </row>
    <row r="32" ht="15" customHeight="1" spans="1:7" x14ac:dyDescent="0.25">
      <c r="A32" s="6" t="s">
        <v>48</v>
      </c>
      <c r="B32" s="6">
        <f>COUNTIF('Test Cases'!A4:A1000,"*-PRJ-*")</f>
      </c>
      <c r="C32" s="6">
        <f>COUNTIFS('Test Cases'!A4:A1000,"*-PRJ-*",'Test Cases'!J4:J1000,"Pass")</f>
      </c>
      <c r="D32" s="6">
        <f>COUNTIFS('Test Cases'!A4:A1000,"*-PRJ-*",'Test Cases'!J4:J1000,"Fail")</f>
      </c>
      <c r="E32" s="6">
        <f>COUNTIFS('Test Cases'!A4:A1000,"*-PRJ-*",'Test Cases'!J4:J1000,"Blocked")</f>
      </c>
      <c r="F32" s="6">
        <f>B32-C32-D32-E32-COUNTIFS('Test Cases'!A4:A1000,"*-PRJ-*",'Test Cases'!J4:J1000,"N/A")</f>
      </c>
      <c r="G32" s="7">
        <f>IFERROR(C32/(C32+D32),0)</f>
      </c>
    </row>
    <row r="33" ht="15" customHeight="1" spans="1:7" x14ac:dyDescent="0.25">
      <c r="A33" s="6" t="s">
        <v>49</v>
      </c>
      <c r="B33" s="6">
        <f>COUNTIF('Test Cases'!A4:A1000,"*-INV-*")</f>
      </c>
      <c r="C33" s="6">
        <f>COUNTIFS('Test Cases'!A4:A1000,"*-INV-*",'Test Cases'!J4:J1000,"Pass")</f>
      </c>
      <c r="D33" s="6">
        <f>COUNTIFS('Test Cases'!A4:A1000,"*-INV-*",'Test Cases'!J4:J1000,"Fail")</f>
      </c>
      <c r="E33" s="6">
        <f>COUNTIFS('Test Cases'!A4:A1000,"*-INV-*",'Test Cases'!J4:J1000,"Blocked")</f>
      </c>
      <c r="F33" s="6">
        <f>B33-C33-D33-E33-COUNTIFS('Test Cases'!A4:A1000,"*-INV-*",'Test Cases'!J4:J1000,"N/A")</f>
      </c>
      <c r="G33" s="7">
        <f>IFERROR(C33/(C33+D33),0)</f>
      </c>
    </row>
    <row r="34" ht="15" customHeight="1" spans="1:7" x14ac:dyDescent="0.25">
      <c r="A34" s="6" t="s">
        <v>50</v>
      </c>
      <c r="B34" s="6">
        <f>COUNTIF('Test Cases'!A4:A1000,"*-ALC-*")</f>
      </c>
      <c r="C34" s="6">
        <f>COUNTIFS('Test Cases'!A4:A1000,"*-ALC-*",'Test Cases'!J4:J1000,"Pass")</f>
      </c>
      <c r="D34" s="6">
        <f>COUNTIFS('Test Cases'!A4:A1000,"*-ALC-*",'Test Cases'!J4:J1000,"Fail")</f>
      </c>
      <c r="E34" s="6">
        <f>COUNTIFS('Test Cases'!A4:A1000,"*-ALC-*",'Test Cases'!J4:J1000,"Blocked")</f>
      </c>
      <c r="F34" s="6">
        <f>B34-C34-D34-E34-COUNTIFS('Test Cases'!A4:A1000,"*-ALC-*",'Test Cases'!J4:J1000,"N/A")</f>
      </c>
      <c r="G34" s="7">
        <f>IFERROR(C34/(C34+D34),0)</f>
      </c>
    </row>
    <row r="35" ht="15" customHeight="1" spans="1:7" x14ac:dyDescent="0.25">
      <c r="A35" s="6" t="s">
        <v>51</v>
      </c>
      <c r="B35" s="6">
        <f>COUNTIF('Test Cases'!A4:A1000,"*-AUTH-*")</f>
      </c>
      <c r="C35" s="6">
        <f>COUNTIFS('Test Cases'!A4:A1000,"*-AUTH-*",'Test Cases'!J4:J1000,"Pass")</f>
      </c>
      <c r="D35" s="6">
        <f>COUNTIFS('Test Cases'!A4:A1000,"*-AUTH-*",'Test Cases'!J4:J1000,"Fail")</f>
      </c>
      <c r="E35" s="6">
        <f>COUNTIFS('Test Cases'!A4:A1000,"*-AUTH-*",'Test Cases'!J4:J1000,"Blocked")</f>
      </c>
      <c r="F35" s="6">
        <f>B35-C35-D35-E35-COUNTIFS('Test Cases'!A4:A1000,"*-AUTH-*",'Test Cases'!J4:J1000,"N/A")</f>
      </c>
      <c r="G35" s="7">
        <f>IFERROR(C35/(C35+D35),0)</f>
      </c>
    </row>
    <row r="36" ht="15" customHeight="1" spans="1:7" x14ac:dyDescent="0.25">
      <c r="A36" s="6" t="s">
        <v>52</v>
      </c>
      <c r="B36" s="6">
        <f>COUNTIF('Test Cases'!A4:A1000,"*-APP-*")</f>
      </c>
      <c r="C36" s="6">
        <f>COUNTIFS('Test Cases'!A4:A1000,"*-APP-*",'Test Cases'!J4:J1000,"Pass")</f>
      </c>
      <c r="D36" s="6">
        <f>COUNTIFS('Test Cases'!A4:A1000,"*-APP-*",'Test Cases'!J4:J1000,"Fail")</f>
      </c>
      <c r="E36" s="6">
        <f>COUNTIFS('Test Cases'!A4:A1000,"*-APP-*",'Test Cases'!J4:J1000,"Blocked")</f>
      </c>
      <c r="F36" s="6">
        <f>B36-C36-D36-E36-COUNTIFS('Test Cases'!A4:A1000,"*-APP-*",'Test Cases'!J4:J1000,"N/A")</f>
      </c>
      <c r="G36" s="7">
        <f>IFERROR(C36/(C36+D36),0)</f>
      </c>
    </row>
    <row r="37" ht="15" customHeight="1" spans="1:7" x14ac:dyDescent="0.25">
      <c r="A37" s="6" t="s">
        <v>53</v>
      </c>
      <c r="B37" s="6">
        <f>COUNTIF('Test Cases'!A4:A1000,"*-DOC-*")</f>
      </c>
      <c r="C37" s="6">
        <f>COUNTIFS('Test Cases'!A4:A1000,"*-DOC-*",'Test Cases'!J4:J1000,"Pass")</f>
      </c>
      <c r="D37" s="6">
        <f>COUNTIFS('Test Cases'!A4:A1000,"*-DOC-*",'Test Cases'!J4:J1000,"Fail")</f>
      </c>
      <c r="E37" s="6">
        <f>COUNTIFS('Test Cases'!A4:A1000,"*-DOC-*",'Test Cases'!J4:J1000,"Blocked")</f>
      </c>
      <c r="F37" s="6">
        <f>B37-C37-D37-E37-COUNTIFS('Test Cases'!A4:A1000,"*-DOC-*",'Test Cases'!J4:J1000,"N/A")</f>
      </c>
      <c r="G37" s="7">
        <f>IFERROR(C37/(C37+D37),0)</f>
      </c>
    </row>
    <row r="38" ht="15" customHeight="1" spans="1:7" x14ac:dyDescent="0.25">
      <c r="A38" s="6" t="s">
        <v>54</v>
      </c>
      <c r="B38" s="6">
        <f>COUNTIF('Test Cases'!A4:A1000,"*-EXIT-*")</f>
      </c>
      <c r="C38" s="6">
        <f>COUNTIFS('Test Cases'!A4:A1000,"*-EXIT-*",'Test Cases'!J4:J1000,"Pass")</f>
      </c>
      <c r="D38" s="6">
        <f>COUNTIFS('Test Cases'!A4:A1000,"*-EXIT-*",'Test Cases'!J4:J1000,"Fail")</f>
      </c>
      <c r="E38" s="6">
        <f>COUNTIFS('Test Cases'!A4:A1000,"*-EXIT-*",'Test Cases'!J4:J1000,"Blocked")</f>
      </c>
      <c r="F38" s="6">
        <f>B38-C38-D38-E38-COUNTIFS('Test Cases'!A4:A1000,"*-EXIT-*",'Test Cases'!J4:J1000,"N/A")</f>
      </c>
      <c r="G38" s="7">
        <f>IFERROR(C38/(C38+D38),0)</f>
      </c>
    </row>
    <row r="39" ht="15" customHeight="1" spans="1:7" x14ac:dyDescent="0.25">
      <c r="A39" s="6" t="s">
        <v>55</v>
      </c>
      <c r="B39" s="6">
        <f>COUNTIF('Test Cases'!A4:A1000,"*-SYNC-*")</f>
      </c>
      <c r="C39" s="6">
        <f>COUNTIFS('Test Cases'!A4:A1000,"*-SYNC-*",'Test Cases'!J4:J1000,"Pass")</f>
      </c>
      <c r="D39" s="6">
        <f>COUNTIFS('Test Cases'!A4:A1000,"*-SYNC-*",'Test Cases'!J4:J1000,"Fail")</f>
      </c>
      <c r="E39" s="6">
        <f>COUNTIFS('Test Cases'!A4:A1000,"*-SYNC-*",'Test Cases'!J4:J1000,"Blocked")</f>
      </c>
      <c r="F39" s="6">
        <f>B39-C39-D39-E39-COUNTIFS('Test Cases'!A4:A1000,"*-SYNC-*",'Test Cases'!J4:J1000,"N/A")</f>
      </c>
      <c r="G39" s="7">
        <f>IFERROR(C39/(C39+D39),0)</f>
      </c>
    </row>
    <row r="40" ht="15" customHeight="1" spans="1:7" x14ac:dyDescent="0.25">
      <c r="A40" s="6" t="s">
        <v>56</v>
      </c>
      <c r="B40" s="6">
        <f>COUNTIF('Test Cases'!A4:A1000,"*-RLS-*")</f>
      </c>
      <c r="C40" s="6">
        <f>COUNTIFS('Test Cases'!A4:A1000,"*-RLS-*",'Test Cases'!J4:J1000,"Pass")</f>
      </c>
      <c r="D40" s="6">
        <f>COUNTIFS('Test Cases'!A4:A1000,"*-RLS-*",'Test Cases'!J4:J1000,"Fail")</f>
      </c>
      <c r="E40" s="6">
        <f>COUNTIFS('Test Cases'!A4:A1000,"*-RLS-*",'Test Cases'!J4:J1000,"Blocked")</f>
      </c>
      <c r="F40" s="6">
        <f>B40-C40-D40-E40-COUNTIFS('Test Cases'!A4:A1000,"*-RLS-*",'Test Cases'!J4:J1000,"N/A")</f>
      </c>
      <c r="G40" s="7">
        <f>IFERROR(C40/(C40+D40),0)</f>
      </c>
    </row>
    <row r="41" ht="15" customHeight="1" spans="1:7" x14ac:dyDescent="0.25">
      <c r="A41" s="6" t="s">
        <v>57</v>
      </c>
      <c r="B41" s="6">
        <f>COUNTIF('Test Cases'!A4:A1000,"*-OBS-*")</f>
      </c>
      <c r="C41" s="6">
        <f>COUNTIFS('Test Cases'!A4:A1000,"*-OBS-*",'Test Cases'!J4:J1000,"Pass")</f>
      </c>
      <c r="D41" s="6">
        <f>COUNTIFS('Test Cases'!A4:A1000,"*-OBS-*",'Test Cases'!J4:J1000,"Fail")</f>
      </c>
      <c r="E41" s="6">
        <f>COUNTIFS('Test Cases'!A4:A1000,"*-OBS-*",'Test Cases'!J4:J1000,"Blocked")</f>
      </c>
      <c r="F41" s="6">
        <f>B41-C41-D41-E41-COUNTIFS('Test Cases'!A4:A1000,"*-OBS-*",'Test Cases'!J4:J1000,"N/A")</f>
      </c>
      <c r="G41" s="7">
        <f>IFERROR(C41/(C41+D41),0)</f>
      </c>
    </row>
    <row r="42" ht="15" customHeight="1" spans="1:7" x14ac:dyDescent="0.25">
      <c r="A42" s="6" t="s">
        <v>58</v>
      </c>
      <c r="B42" s="6">
        <f>COUNTIF('Test Cases'!A4:A1000,"*-NEG-*")</f>
      </c>
      <c r="C42" s="6">
        <f>COUNTIFS('Test Cases'!A4:A1000,"*-NEG-*",'Test Cases'!J4:J1000,"Pass")</f>
      </c>
      <c r="D42" s="6">
        <f>COUNTIFS('Test Cases'!A4:A1000,"*-NEG-*",'Test Cases'!J4:J1000,"Fail")</f>
      </c>
      <c r="E42" s="6">
        <f>COUNTIFS('Test Cases'!A4:A1000,"*-NEG-*",'Test Cases'!J4:J1000,"Blocked")</f>
      </c>
      <c r="F42" s="6">
        <f>B42-C42-D42-E42-COUNTIFS('Test Cases'!A4:A1000,"*-NEG-*",'Test Cases'!J4:J1000,"N/A")</f>
      </c>
      <c r="G42" s="7">
        <f>IFERROR(C42/(C42+D42),0)</f>
      </c>
    </row>
    <row r="44" ht="15" customHeight="1" spans="1:1" x14ac:dyDescent="0.25">
      <c r="A44" s="4" t="s">
        <v>59</v>
      </c>
    </row>
    <row r="45" ht="15" customHeight="1" spans="1:7" x14ac:dyDescent="0.25">
      <c r="A45" s="3" t="s">
        <v>60</v>
      </c>
      <c r="B45" s="1"/>
      <c r="C45" s="1"/>
      <c r="D45" s="1"/>
      <c r="E45" s="1"/>
      <c r="F45" s="1"/>
      <c r="G45" s="1"/>
    </row>
    <row r="46" ht="15" customHeight="1" spans="1:7" x14ac:dyDescent="0.25">
      <c r="A46" s="3" t="s">
        <v>61</v>
      </c>
      <c r="B46" s="1"/>
      <c r="C46" s="1"/>
      <c r="D46" s="1"/>
      <c r="E46" s="1"/>
      <c r="F46" s="1"/>
      <c r="G46" s="1"/>
    </row>
    <row r="47" ht="15" customHeight="1" spans="1:7" x14ac:dyDescent="0.25">
      <c r="A47" s="3" t="s">
        <v>62</v>
      </c>
      <c r="B47" s="1"/>
      <c r="C47" s="1"/>
      <c r="D47" s="1"/>
      <c r="E47" s="1"/>
      <c r="F47" s="1"/>
      <c r="G47" s="1"/>
    </row>
    <row r="48" ht="15" customHeight="1" spans="1:7" x14ac:dyDescent="0.25">
      <c r="A48" s="3" t="s">
        <v>63</v>
      </c>
      <c r="B48" s="1"/>
      <c r="C48" s="1"/>
      <c r="D48" s="1"/>
      <c r="E48" s="1"/>
      <c r="F48" s="1"/>
      <c r="G48" s="1"/>
    </row>
    <row r="49" ht="15" customHeight="1" spans="1:7" x14ac:dyDescent="0.25">
      <c r="A49" s="3" t="s">
        <v>64</v>
      </c>
      <c r="B49" s="1"/>
      <c r="C49" s="1"/>
      <c r="D49" s="1"/>
      <c r="E49" s="1"/>
      <c r="F49" s="1"/>
      <c r="G49" s="1"/>
    </row>
  </sheetData>
  <mergeCells count="6">
    <mergeCell ref="A1:G1"/>
    <mergeCell ref="A45:G45"/>
    <mergeCell ref="A46:G46"/>
    <mergeCell ref="A47:G47"/>
    <mergeCell ref="A48:G48"/>
    <mergeCell ref="A49:G49"/>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26"/>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14" style="1" customWidth="1"/>
    <col min="2" max="2" width="12" style="1" customWidth="1"/>
    <col min="3" max="3" width="50" style="1" customWidth="1"/>
    <col min="4" max="4" width="22" style="1" customWidth="1"/>
    <col min="5" max="5" width="14" style="1" customWidth="1"/>
    <col min="6" max="6" width="18" style="1" customWidth="1"/>
    <col min="7" max="7" width="30" style="1" customWidth="1"/>
  </cols>
  <sheetData>
    <row r="1" ht="19.5" customHeight="1" spans="1:7" x14ac:dyDescent="0.25">
      <c r="A1" s="2" t="s">
        <v>65</v>
      </c>
      <c r="B1" s="1"/>
      <c r="C1" s="1"/>
      <c r="D1" s="1"/>
      <c r="E1" s="1"/>
      <c r="F1" s="1"/>
      <c r="G1" s="1"/>
    </row>
    <row r="2" ht="15" customHeight="1" spans="1:1" x14ac:dyDescent="0.25">
      <c r="A2" s="3" t="s">
        <v>66</v>
      </c>
    </row>
    <row r="4" ht="26.25" customHeight="1" spans="1:7" x14ac:dyDescent="0.25">
      <c r="A4" s="5" t="s">
        <v>67</v>
      </c>
      <c r="B4" s="5" t="s">
        <v>68</v>
      </c>
      <c r="C4" s="5" t="s">
        <v>69</v>
      </c>
      <c r="D4" s="5" t="s">
        <v>70</v>
      </c>
      <c r="E4" s="5" t="s">
        <v>71</v>
      </c>
      <c r="F4" s="5" t="s">
        <v>72</v>
      </c>
      <c r="G4" s="5" t="s">
        <v>59</v>
      </c>
    </row>
    <row r="5" ht="15" customHeight="1" spans="1:7" x14ac:dyDescent="0.25">
      <c r="A5" s="8" t="s">
        <v>73</v>
      </c>
      <c r="B5" s="9" t="s">
        <v>47</v>
      </c>
      <c r="C5" s="9" t="s">
        <v>74</v>
      </c>
      <c r="D5" s="9" t="s">
        <v>75</v>
      </c>
      <c r="E5" s="9" t="s">
        <v>76</v>
      </c>
      <c r="F5" s="9" t="s">
        <v>77</v>
      </c>
      <c r="G5" s="9"/>
    </row>
    <row r="6" ht="15" customHeight="1" spans="1:7" x14ac:dyDescent="0.25">
      <c r="A6" s="8" t="s">
        <v>78</v>
      </c>
      <c r="B6" s="9" t="s">
        <v>47</v>
      </c>
      <c r="C6" s="9" t="s">
        <v>79</v>
      </c>
      <c r="D6" s="9" t="s">
        <v>80</v>
      </c>
      <c r="E6" s="9" t="s">
        <v>76</v>
      </c>
      <c r="F6" s="9" t="s">
        <v>77</v>
      </c>
      <c r="G6" s="9"/>
    </row>
    <row r="7" ht="15" customHeight="1" spans="1:7" x14ac:dyDescent="0.25">
      <c r="A7" s="8" t="s">
        <v>81</v>
      </c>
      <c r="B7" s="9" t="s">
        <v>47</v>
      </c>
      <c r="C7" s="9" t="s">
        <v>82</v>
      </c>
      <c r="D7" s="9" t="s">
        <v>83</v>
      </c>
      <c r="E7" s="9" t="s">
        <v>76</v>
      </c>
      <c r="F7" s="9" t="s">
        <v>77</v>
      </c>
      <c r="G7" s="9"/>
    </row>
    <row r="8" ht="15" customHeight="1" spans="1:7" x14ac:dyDescent="0.25">
      <c r="A8" s="8" t="s">
        <v>84</v>
      </c>
      <c r="B8" s="9" t="s">
        <v>47</v>
      </c>
      <c r="C8" s="9" t="s">
        <v>85</v>
      </c>
      <c r="D8" s="9" t="s">
        <v>86</v>
      </c>
      <c r="E8" s="9" t="s">
        <v>76</v>
      </c>
      <c r="F8" s="9" t="s">
        <v>77</v>
      </c>
      <c r="G8" s="9"/>
    </row>
    <row r="9" ht="15" customHeight="1" spans="1:7" x14ac:dyDescent="0.25">
      <c r="A9" s="8" t="s">
        <v>87</v>
      </c>
      <c r="B9" s="9" t="s">
        <v>47</v>
      </c>
      <c r="C9" s="9" t="s">
        <v>88</v>
      </c>
      <c r="D9" s="9" t="s">
        <v>89</v>
      </c>
      <c r="E9" s="9" t="s">
        <v>76</v>
      </c>
      <c r="F9" s="9" t="s">
        <v>77</v>
      </c>
      <c r="G9" s="9"/>
    </row>
    <row r="10" ht="15" customHeight="1" spans="1:7" x14ac:dyDescent="0.25">
      <c r="A10" s="8" t="s">
        <v>90</v>
      </c>
      <c r="B10" s="9"/>
      <c r="C10" s="9" t="s">
        <v>91</v>
      </c>
      <c r="D10" s="9"/>
      <c r="E10" s="9" t="s">
        <v>18</v>
      </c>
      <c r="F10" s="9" t="s">
        <v>18</v>
      </c>
      <c r="G10" s="9"/>
    </row>
    <row r="11" ht="15" customHeight="1" spans="1:7" x14ac:dyDescent="0.25">
      <c r="A11" s="8" t="s">
        <v>90</v>
      </c>
      <c r="B11" s="9"/>
      <c r="C11" s="9" t="s">
        <v>92</v>
      </c>
      <c r="D11" s="9"/>
      <c r="E11" s="9" t="s">
        <v>18</v>
      </c>
      <c r="F11" s="9" t="s">
        <v>18</v>
      </c>
      <c r="G11" s="9"/>
    </row>
    <row r="12" ht="15" customHeight="1" spans="1:7" x14ac:dyDescent="0.25">
      <c r="A12" s="8" t="s">
        <v>93</v>
      </c>
      <c r="B12" s="9" t="s">
        <v>94</v>
      </c>
      <c r="C12" s="9" t="s">
        <v>95</v>
      </c>
      <c r="D12" s="9" t="s">
        <v>96</v>
      </c>
      <c r="E12" s="9" t="s">
        <v>76</v>
      </c>
      <c r="F12" s="9" t="s">
        <v>77</v>
      </c>
      <c r="G12" s="9"/>
    </row>
    <row r="13" ht="15" customHeight="1" spans="1:7" x14ac:dyDescent="0.25">
      <c r="A13" s="8" t="s">
        <v>97</v>
      </c>
      <c r="B13" s="9" t="s">
        <v>94</v>
      </c>
      <c r="C13" s="9" t="s">
        <v>98</v>
      </c>
      <c r="D13" s="9" t="s">
        <v>99</v>
      </c>
      <c r="E13" s="9" t="s">
        <v>76</v>
      </c>
      <c r="F13" s="9" t="s">
        <v>77</v>
      </c>
      <c r="G13" s="9"/>
    </row>
    <row r="14" ht="15" customHeight="1" spans="1:7" x14ac:dyDescent="0.25">
      <c r="A14" s="8" t="s">
        <v>100</v>
      </c>
      <c r="B14" s="9" t="s">
        <v>94</v>
      </c>
      <c r="C14" s="9" t="s">
        <v>101</v>
      </c>
      <c r="D14" s="9" t="s">
        <v>102</v>
      </c>
      <c r="E14" s="9" t="s">
        <v>76</v>
      </c>
      <c r="F14" s="9" t="s">
        <v>77</v>
      </c>
      <c r="G14" s="9"/>
    </row>
    <row r="15" ht="15" customHeight="1" spans="1:7" x14ac:dyDescent="0.25">
      <c r="A15" s="8" t="s">
        <v>103</v>
      </c>
      <c r="B15" s="9" t="s">
        <v>94</v>
      </c>
      <c r="C15" s="9" t="s">
        <v>104</v>
      </c>
      <c r="D15" s="9" t="s">
        <v>105</v>
      </c>
      <c r="E15" s="9" t="s">
        <v>76</v>
      </c>
      <c r="F15" s="9" t="s">
        <v>77</v>
      </c>
      <c r="G15" s="9"/>
    </row>
    <row r="16" ht="15" customHeight="1" spans="1:7" x14ac:dyDescent="0.25">
      <c r="A16" s="8" t="s">
        <v>106</v>
      </c>
      <c r="B16" s="9" t="s">
        <v>94</v>
      </c>
      <c r="C16" s="9" t="s">
        <v>107</v>
      </c>
      <c r="D16" s="9" t="s">
        <v>108</v>
      </c>
      <c r="E16" s="9" t="s">
        <v>76</v>
      </c>
      <c r="F16" s="9" t="s">
        <v>77</v>
      </c>
      <c r="G16" s="9"/>
    </row>
    <row r="17" ht="15" customHeight="1" spans="1:7" x14ac:dyDescent="0.25">
      <c r="A17" s="8" t="s">
        <v>109</v>
      </c>
      <c r="B17" s="9" t="s">
        <v>94</v>
      </c>
      <c r="C17" s="9" t="s">
        <v>110</v>
      </c>
      <c r="D17" s="9" t="s">
        <v>111</v>
      </c>
      <c r="E17" s="9" t="s">
        <v>76</v>
      </c>
      <c r="F17" s="9" t="s">
        <v>77</v>
      </c>
      <c r="G17" s="9"/>
    </row>
    <row r="18" ht="15" customHeight="1" spans="1:7" x14ac:dyDescent="0.25">
      <c r="A18" s="8" t="s">
        <v>112</v>
      </c>
      <c r="B18" s="9" t="s">
        <v>94</v>
      </c>
      <c r="C18" s="9" t="s">
        <v>113</v>
      </c>
      <c r="D18" s="9" t="s">
        <v>114</v>
      </c>
      <c r="E18" s="9" t="s">
        <v>76</v>
      </c>
      <c r="F18" s="9" t="s">
        <v>77</v>
      </c>
      <c r="G18" s="9"/>
    </row>
    <row r="19" ht="15" customHeight="1" spans="1:7" x14ac:dyDescent="0.25">
      <c r="A19" s="8" t="s">
        <v>115</v>
      </c>
      <c r="B19" s="9" t="s">
        <v>116</v>
      </c>
      <c r="C19" s="9" t="s">
        <v>117</v>
      </c>
      <c r="D19" s="9" t="s">
        <v>118</v>
      </c>
      <c r="E19" s="9" t="s">
        <v>76</v>
      </c>
      <c r="F19" s="9" t="s">
        <v>77</v>
      </c>
      <c r="G19" s="9"/>
    </row>
    <row r="20" ht="15" customHeight="1" spans="1:7" x14ac:dyDescent="0.25">
      <c r="A20" s="8" t="s">
        <v>119</v>
      </c>
      <c r="B20" s="9" t="s">
        <v>116</v>
      </c>
      <c r="C20" s="9" t="s">
        <v>120</v>
      </c>
      <c r="D20" s="9" t="s">
        <v>121</v>
      </c>
      <c r="E20" s="9" t="s">
        <v>76</v>
      </c>
      <c r="F20" s="9" t="s">
        <v>77</v>
      </c>
      <c r="G20" s="9"/>
    </row>
    <row r="21" ht="15" customHeight="1" spans="1:7" x14ac:dyDescent="0.25">
      <c r="A21" s="8" t="s">
        <v>122</v>
      </c>
      <c r="B21" s="9" t="s">
        <v>116</v>
      </c>
      <c r="C21" s="9" t="s">
        <v>123</v>
      </c>
      <c r="D21" s="9" t="s">
        <v>124</v>
      </c>
      <c r="E21" s="9" t="s">
        <v>76</v>
      </c>
      <c r="F21" s="9" t="s">
        <v>77</v>
      </c>
      <c r="G21" s="9"/>
    </row>
    <row r="22" ht="15" customHeight="1" spans="1:7" x14ac:dyDescent="0.25">
      <c r="A22" s="8" t="s">
        <v>125</v>
      </c>
      <c r="B22" s="9" t="s">
        <v>116</v>
      </c>
      <c r="C22" s="9" t="s">
        <v>126</v>
      </c>
      <c r="D22" s="9" t="s">
        <v>127</v>
      </c>
      <c r="E22" s="9" t="s">
        <v>76</v>
      </c>
      <c r="F22" s="9" t="s">
        <v>77</v>
      </c>
      <c r="G22" s="9"/>
    </row>
    <row r="23" ht="15" customHeight="1" spans="1:7" x14ac:dyDescent="0.25">
      <c r="A23" s="8" t="s">
        <v>128</v>
      </c>
      <c r="B23" s="9" t="s">
        <v>116</v>
      </c>
      <c r="C23" s="9" t="s">
        <v>129</v>
      </c>
      <c r="D23" s="9" t="s">
        <v>130</v>
      </c>
      <c r="E23" s="9" t="s">
        <v>76</v>
      </c>
      <c r="F23" s="9" t="s">
        <v>77</v>
      </c>
      <c r="G23" s="9"/>
    </row>
    <row r="24" ht="15" customHeight="1" spans="1:7" x14ac:dyDescent="0.25">
      <c r="A24" s="8" t="s">
        <v>131</v>
      </c>
      <c r="B24" s="9" t="s">
        <v>116</v>
      </c>
      <c r="C24" s="9" t="s">
        <v>132</v>
      </c>
      <c r="D24" s="9" t="s">
        <v>133</v>
      </c>
      <c r="E24" s="9" t="s">
        <v>76</v>
      </c>
      <c r="F24" s="9" t="s">
        <v>77</v>
      </c>
      <c r="G24" s="9"/>
    </row>
    <row r="25" ht="15" customHeight="1" spans="1:7" x14ac:dyDescent="0.25">
      <c r="A25" s="8" t="s">
        <v>134</v>
      </c>
      <c r="B25" s="9" t="s">
        <v>116</v>
      </c>
      <c r="C25" s="9" t="s">
        <v>135</v>
      </c>
      <c r="D25" s="9" t="s">
        <v>136</v>
      </c>
      <c r="E25" s="9" t="s">
        <v>76</v>
      </c>
      <c r="F25" s="9" t="s">
        <v>77</v>
      </c>
      <c r="G25" s="9"/>
    </row>
    <row r="26" ht="15" customHeight="1" spans="1:7" x14ac:dyDescent="0.25">
      <c r="A26" s="8" t="s">
        <v>137</v>
      </c>
      <c r="B26" s="9" t="s">
        <v>138</v>
      </c>
      <c r="C26" s="9" t="s">
        <v>139</v>
      </c>
      <c r="D26" s="9"/>
      <c r="E26" s="9" t="s">
        <v>77</v>
      </c>
      <c r="F26" s="9" t="s">
        <v>77</v>
      </c>
      <c r="G26" s="9"/>
    </row>
  </sheetData>
  <mergeCells count="1">
    <mergeCell ref="A1:G1"/>
  </mergeCells>
  <conditionalFormatting sqref="E5:E26">
    <cfRule type="cellIs" dxfId="0" priority="2" operator="equal">
      <formula>"Yes"</formula>
    </cfRule>
    <cfRule type="cellIs" dxfId="1" priority="3" operator="equal">
      <formula>"No"</formula>
    </cfRule>
  </conditionalFormatting>
  <conditionalFormatting sqref="F5:F26">
    <cfRule type="cellIs" dxfId="2" priority="4" operator="equal">
      <formula>"Yes"</formula>
    </cfRule>
    <cfRule type="cellIs" dxfId="3" priority="5" operator="equal">
      <formula>"No"</formula>
    </cfRule>
  </conditionalFormatting>
  <dataValidations count="2">
    <dataValidation type="list" allowBlank="1" errorStyle="stop" sqref="E10:F26">
      <formula1>"No,Yes,N/A"</formula1>
      <formula2>0</formula2>
    </dataValidation>
    <dataValidation type="list" allowBlank="1" errorStyle="stop" sqref="E5:F26">
      <formula1>"No,Yes,N/A"</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20"/>
  <sheetViews>
    <sheetView workbookViewId="0" zoomScale="100" zoomScaleNormal="100" view="normal">
      <selection activeCell="A1" sqref="A1"/>
    </sheetView>
  </sheetViews>
  <sheetFormatPr defaultRowHeight="15" outlineLevelRow="0" outlineLevelCol="0" x14ac:dyDescent="0" defaultColWidth="8.6796875"/>
  <cols>
    <col min="1" max="1" width="14" style="1" customWidth="1"/>
    <col min="2" max="2" width="8" style="1" customWidth="1"/>
    <col min="3" max="3" width="36" style="1" customWidth="1"/>
    <col min="4" max="4" width="50" style="1" customWidth="1"/>
    <col min="5" max="5" width="30" style="1" customWidth="1"/>
    <col min="6" max="6" width="22" style="1" customWidth="1"/>
    <col min="7" max="7" width="14" style="1" customWidth="1"/>
  </cols>
  <sheetData>
    <row r="1" ht="19.5" customHeight="1" spans="1:7" x14ac:dyDescent="0.25">
      <c r="A1" s="2" t="s">
        <v>140</v>
      </c>
      <c r="B1" s="1"/>
      <c r="C1" s="1"/>
      <c r="D1" s="1"/>
      <c r="E1" s="1"/>
      <c r="F1" s="1"/>
      <c r="G1" s="1"/>
    </row>
    <row r="3" ht="27.75" customHeight="1" spans="1:7" x14ac:dyDescent="0.25">
      <c r="A3" s="5" t="s">
        <v>141</v>
      </c>
      <c r="B3" s="5" t="s">
        <v>42</v>
      </c>
      <c r="C3" s="5" t="s">
        <v>142</v>
      </c>
      <c r="D3" s="5" t="s">
        <v>143</v>
      </c>
      <c r="E3" s="5" t="s">
        <v>144</v>
      </c>
      <c r="F3" s="5" t="s">
        <v>145</v>
      </c>
      <c r="G3" s="5" t="s">
        <v>146</v>
      </c>
    </row>
    <row r="4" ht="49.5" customHeight="1" spans="1:7" x14ac:dyDescent="0.25">
      <c r="A4" s="9" t="s">
        <v>147</v>
      </c>
      <c r="B4" s="9" t="s">
        <v>47</v>
      </c>
      <c r="C4" s="9" t="s">
        <v>148</v>
      </c>
      <c r="D4" s="9" t="s">
        <v>149</v>
      </c>
      <c r="E4" s="9" t="s">
        <v>73</v>
      </c>
      <c r="F4" s="9" t="s">
        <v>150</v>
      </c>
      <c r="G4" s="10" t="s">
        <v>151</v>
      </c>
    </row>
    <row r="5" ht="49.5" customHeight="1" spans="1:7" x14ac:dyDescent="0.25">
      <c r="A5" s="9" t="s">
        <v>152</v>
      </c>
      <c r="B5" s="9" t="s">
        <v>47</v>
      </c>
      <c r="C5" s="9" t="s">
        <v>153</v>
      </c>
      <c r="D5" s="9" t="s">
        <v>154</v>
      </c>
      <c r="E5" s="9" t="s">
        <v>81</v>
      </c>
      <c r="F5" s="9" t="s">
        <v>155</v>
      </c>
      <c r="G5" s="10" t="s">
        <v>151</v>
      </c>
    </row>
    <row r="6" ht="49.5" customHeight="1" spans="1:7" x14ac:dyDescent="0.25">
      <c r="A6" s="9" t="s">
        <v>156</v>
      </c>
      <c r="B6" s="9" t="s">
        <v>48</v>
      </c>
      <c r="C6" s="9" t="s">
        <v>157</v>
      </c>
      <c r="D6" s="9" t="s">
        <v>158</v>
      </c>
      <c r="E6" s="9" t="s">
        <v>159</v>
      </c>
      <c r="F6" s="9" t="s">
        <v>160</v>
      </c>
      <c r="G6" s="10" t="s">
        <v>151</v>
      </c>
    </row>
    <row r="7" ht="49.5" customHeight="1" spans="1:7" x14ac:dyDescent="0.25">
      <c r="A7" s="9" t="s">
        <v>161</v>
      </c>
      <c r="B7" s="9" t="s">
        <v>48</v>
      </c>
      <c r="C7" s="9" t="s">
        <v>162</v>
      </c>
      <c r="D7" s="9" t="s">
        <v>163</v>
      </c>
      <c r="E7" s="9" t="s">
        <v>164</v>
      </c>
      <c r="F7" s="9" t="s">
        <v>165</v>
      </c>
      <c r="G7" s="10" t="s">
        <v>151</v>
      </c>
    </row>
    <row r="8" ht="49.5" customHeight="1" spans="1:7" x14ac:dyDescent="0.25">
      <c r="A8" s="9" t="s">
        <v>166</v>
      </c>
      <c r="B8" s="9" t="s">
        <v>49</v>
      </c>
      <c r="C8" s="9" t="s">
        <v>167</v>
      </c>
      <c r="D8" s="9" t="s">
        <v>168</v>
      </c>
      <c r="E8" s="9" t="s">
        <v>169</v>
      </c>
      <c r="F8" s="9" t="s">
        <v>170</v>
      </c>
      <c r="G8" s="10" t="s">
        <v>151</v>
      </c>
    </row>
    <row r="9" ht="49.5" customHeight="1" spans="1:7" x14ac:dyDescent="0.25">
      <c r="A9" s="9" t="s">
        <v>171</v>
      </c>
      <c r="B9" s="9" t="s">
        <v>50</v>
      </c>
      <c r="C9" s="9" t="s">
        <v>172</v>
      </c>
      <c r="D9" s="9" t="s">
        <v>173</v>
      </c>
      <c r="E9" s="9" t="s">
        <v>174</v>
      </c>
      <c r="F9" s="9" t="s">
        <v>175</v>
      </c>
      <c r="G9" s="10" t="s">
        <v>151</v>
      </c>
    </row>
    <row r="10" ht="49.5" customHeight="1" spans="1:7" x14ac:dyDescent="0.25">
      <c r="A10" s="9" t="s">
        <v>176</v>
      </c>
      <c r="B10" s="9" t="s">
        <v>50</v>
      </c>
      <c r="C10" s="9" t="s">
        <v>177</v>
      </c>
      <c r="D10" s="9" t="s">
        <v>178</v>
      </c>
      <c r="E10" s="9" t="s">
        <v>179</v>
      </c>
      <c r="F10" s="9" t="s">
        <v>180</v>
      </c>
      <c r="G10" s="10" t="s">
        <v>151</v>
      </c>
    </row>
    <row r="11" ht="49.5" customHeight="1" spans="1:7" x14ac:dyDescent="0.25">
      <c r="A11" s="9" t="s">
        <v>181</v>
      </c>
      <c r="B11" s="9" t="s">
        <v>50</v>
      </c>
      <c r="C11" s="9" t="s">
        <v>182</v>
      </c>
      <c r="D11" s="9" t="s">
        <v>183</v>
      </c>
      <c r="E11" s="9" t="s">
        <v>184</v>
      </c>
      <c r="F11" s="9" t="s">
        <v>185</v>
      </c>
      <c r="G11" s="10" t="s">
        <v>151</v>
      </c>
    </row>
    <row r="12" ht="49.5" customHeight="1" spans="1:7" x14ac:dyDescent="0.25">
      <c r="A12" s="9" t="s">
        <v>186</v>
      </c>
      <c r="B12" s="9" t="s">
        <v>50</v>
      </c>
      <c r="C12" s="9" t="s">
        <v>187</v>
      </c>
      <c r="D12" s="9" t="s">
        <v>188</v>
      </c>
      <c r="E12" s="9" t="s">
        <v>189</v>
      </c>
      <c r="F12" s="9" t="s">
        <v>190</v>
      </c>
      <c r="G12" s="10" t="s">
        <v>151</v>
      </c>
    </row>
    <row r="13" ht="49.5" customHeight="1" spans="1:7" x14ac:dyDescent="0.25">
      <c r="A13" s="9" t="s">
        <v>191</v>
      </c>
      <c r="B13" s="9" t="s">
        <v>50</v>
      </c>
      <c r="C13" s="9" t="s">
        <v>192</v>
      </c>
      <c r="D13" s="9" t="s">
        <v>193</v>
      </c>
      <c r="E13" s="9" t="s">
        <v>194</v>
      </c>
      <c r="F13" s="9" t="s">
        <v>195</v>
      </c>
      <c r="G13" s="10" t="s">
        <v>151</v>
      </c>
    </row>
    <row r="14" ht="49.5" customHeight="1" spans="1:7" x14ac:dyDescent="0.25">
      <c r="A14" s="9" t="s">
        <v>196</v>
      </c>
      <c r="B14" s="9" t="s">
        <v>51</v>
      </c>
      <c r="C14" s="9" t="s">
        <v>197</v>
      </c>
      <c r="D14" s="9" t="s">
        <v>198</v>
      </c>
      <c r="E14" s="9" t="s">
        <v>169</v>
      </c>
      <c r="F14" s="9" t="s">
        <v>199</v>
      </c>
      <c r="G14" s="10" t="s">
        <v>151</v>
      </c>
    </row>
    <row r="15" ht="49.5" customHeight="1" spans="1:7" x14ac:dyDescent="0.25">
      <c r="A15" s="9" t="s">
        <v>200</v>
      </c>
      <c r="B15" s="9" t="s">
        <v>52</v>
      </c>
      <c r="C15" s="9" t="s">
        <v>201</v>
      </c>
      <c r="D15" s="9" t="s">
        <v>202</v>
      </c>
      <c r="E15" s="9" t="s">
        <v>203</v>
      </c>
      <c r="F15" s="9" t="s">
        <v>204</v>
      </c>
      <c r="G15" s="10" t="s">
        <v>151</v>
      </c>
    </row>
    <row r="16" ht="49.5" customHeight="1" spans="1:7" x14ac:dyDescent="0.25">
      <c r="A16" s="9" t="s">
        <v>205</v>
      </c>
      <c r="B16" s="9" t="s">
        <v>53</v>
      </c>
      <c r="C16" s="9" t="s">
        <v>206</v>
      </c>
      <c r="D16" s="9" t="s">
        <v>207</v>
      </c>
      <c r="E16" s="9" t="s">
        <v>208</v>
      </c>
      <c r="F16" s="9" t="s">
        <v>209</v>
      </c>
      <c r="G16" s="10" t="s">
        <v>151</v>
      </c>
    </row>
    <row r="17" ht="49.5" customHeight="1" spans="1:7" x14ac:dyDescent="0.25">
      <c r="A17" s="9" t="s">
        <v>210</v>
      </c>
      <c r="B17" s="9" t="s">
        <v>54</v>
      </c>
      <c r="C17" s="9" t="s">
        <v>211</v>
      </c>
      <c r="D17" s="9" t="s">
        <v>212</v>
      </c>
      <c r="E17" s="9" t="s">
        <v>213</v>
      </c>
      <c r="F17" s="9" t="s">
        <v>214</v>
      </c>
      <c r="G17" s="10" t="s">
        <v>151</v>
      </c>
    </row>
    <row r="18" ht="49.5" customHeight="1" spans="1:7" x14ac:dyDescent="0.25">
      <c r="A18" s="9" t="s">
        <v>215</v>
      </c>
      <c r="B18" s="9" t="s">
        <v>55</v>
      </c>
      <c r="C18" s="9" t="s">
        <v>216</v>
      </c>
      <c r="D18" s="9" t="s">
        <v>217</v>
      </c>
      <c r="E18" s="9" t="s">
        <v>218</v>
      </c>
      <c r="F18" s="9" t="s">
        <v>219</v>
      </c>
      <c r="G18" s="10" t="s">
        <v>151</v>
      </c>
    </row>
    <row r="19" ht="49.5" customHeight="1" spans="1:7" x14ac:dyDescent="0.25">
      <c r="A19" s="9" t="s">
        <v>220</v>
      </c>
      <c r="B19" s="9" t="s">
        <v>56</v>
      </c>
      <c r="C19" s="9" t="s">
        <v>221</v>
      </c>
      <c r="D19" s="9" t="s">
        <v>222</v>
      </c>
      <c r="E19" s="9" t="s">
        <v>208</v>
      </c>
      <c r="F19" s="9" t="s">
        <v>223</v>
      </c>
      <c r="G19" s="10" t="s">
        <v>151</v>
      </c>
    </row>
    <row r="20" ht="49.5" customHeight="1" spans="1:7" x14ac:dyDescent="0.25">
      <c r="A20" s="9" t="s">
        <v>224</v>
      </c>
      <c r="B20" s="9" t="s">
        <v>57</v>
      </c>
      <c r="C20" s="9" t="s">
        <v>225</v>
      </c>
      <c r="D20" s="9" t="s">
        <v>226</v>
      </c>
      <c r="E20" s="9" t="s">
        <v>227</v>
      </c>
      <c r="F20" s="9" t="s">
        <v>228</v>
      </c>
      <c r="G20" s="10" t="s">
        <v>151</v>
      </c>
    </row>
  </sheetData>
  <mergeCells count="1">
    <mergeCell ref="A1:G1"/>
  </mergeCells>
  <dataValidations count="2">
    <dataValidation type="list" allowBlank="1" errorStyle="stop" sqref="G10:G20">
      <formula1>"Not Started,In Progress,Completed,Blocked"</formula1>
      <formula2>0</formula2>
    </dataValidation>
    <dataValidation type="list" allowBlank="1" errorStyle="stop" sqref="G4:G20">
      <formula1>"Not Started,In Progress,Completed,Blocked"</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89"/>
  <sheetViews>
    <sheetView workbookViewId="0" zoomScale="100" zoomScaleNormal="100" view="normal">
      <pane ySplit="3" topLeftCell="A4" activePane="bottomLeft" state="frozen"/>
      <selection pane="bottomLeft" activeCell="A1" sqref="A1"/>
    </sheetView>
  </sheetViews>
  <sheetFormatPr defaultRowHeight="15" outlineLevelRow="0" outlineLevelCol="0" x14ac:dyDescent="0" defaultColWidth="8.6796875"/>
  <cols>
    <col min="1" max="1" width="16" style="1" customWidth="1"/>
    <col min="2" max="2" width="14" style="1" customWidth="1"/>
    <col min="3" max="3" width="6" style="1" customWidth="1"/>
    <col min="4" max="4" width="26" style="1" customWidth="1"/>
    <col min="5" max="6" width="40" style="1" customWidth="1"/>
    <col min="7" max="7" width="12" style="1" customWidth="1"/>
    <col min="8" max="8" width="9" style="1" customWidth="1"/>
    <col min="9" max="9" width="24" style="1" customWidth="1"/>
    <col min="10" max="10" width="11" style="1" customWidth="1"/>
    <col min="11" max="11" width="14" style="1" customWidth="1"/>
    <col min="12" max="12" width="12" style="1" customWidth="1"/>
    <col min="13" max="13" width="14" style="1" customWidth="1"/>
    <col min="14" max="14" width="30" style="1" customWidth="1"/>
  </cols>
  <sheetData>
    <row r="1" ht="19.5" customHeight="1" spans="1:14" x14ac:dyDescent="0.25">
      <c r="A1" s="2" t="s">
        <v>229</v>
      </c>
      <c r="B1" s="1"/>
      <c r="C1" s="1"/>
      <c r="D1" s="1"/>
      <c r="E1" s="1"/>
      <c r="F1" s="1"/>
      <c r="G1" s="1"/>
      <c r="H1" s="1"/>
      <c r="I1" s="1"/>
      <c r="J1" s="1"/>
      <c r="K1" s="1"/>
      <c r="L1" s="1"/>
      <c r="M1" s="1"/>
      <c r="N1" s="1"/>
    </row>
    <row r="2" spans="1:1" x14ac:dyDescent="0.25">
      <c r="A2" s="1"/>
    </row>
    <row r="3" ht="31.5" customHeight="1" spans="1:14" x14ac:dyDescent="0.25">
      <c r="A3" s="5" t="s">
        <v>230</v>
      </c>
      <c r="B3" s="5" t="s">
        <v>141</v>
      </c>
      <c r="C3" s="5" t="s">
        <v>231</v>
      </c>
      <c r="D3" s="5" t="s">
        <v>232</v>
      </c>
      <c r="E3" s="5" t="s">
        <v>233</v>
      </c>
      <c r="F3" s="5" t="s">
        <v>234</v>
      </c>
      <c r="G3" s="5" t="s">
        <v>235</v>
      </c>
      <c r="H3" s="5" t="s">
        <v>236</v>
      </c>
      <c r="I3" s="5" t="s">
        <v>237</v>
      </c>
      <c r="J3" s="5" t="s">
        <v>146</v>
      </c>
      <c r="K3" s="5" t="s">
        <v>238</v>
      </c>
      <c r="L3" s="5" t="s">
        <v>239</v>
      </c>
      <c r="M3" s="5" t="s">
        <v>240</v>
      </c>
      <c r="N3" s="5" t="s">
        <v>241</v>
      </c>
    </row>
    <row r="4" ht="42" customHeight="1" spans="1:14" x14ac:dyDescent="0.25">
      <c r="A4" s="9" t="s">
        <v>242</v>
      </c>
      <c r="B4" s="9" t="s">
        <v>147</v>
      </c>
      <c r="C4" s="9">
        <v>1</v>
      </c>
      <c r="D4" s="9" t="s">
        <v>243</v>
      </c>
      <c r="E4" s="9" t="s">
        <v>244</v>
      </c>
      <c r="F4" s="9" t="s">
        <v>245</v>
      </c>
      <c r="G4" s="9" t="s">
        <v>246</v>
      </c>
      <c r="H4" s="9" t="s">
        <v>247</v>
      </c>
      <c r="I4" s="9" t="s">
        <v>73</v>
      </c>
      <c r="J4" s="11" t="s">
        <v>248</v>
      </c>
      <c r="K4" s="1" t="s">
        <v>249</v>
      </c>
      <c r="L4" s="1" t="s">
        <v>250</v>
      </c>
      <c r="N4" s="1" t="s">
        <v>251</v>
      </c>
    </row>
    <row r="5" ht="42" customHeight="1" spans="1:14" x14ac:dyDescent="0.25">
      <c r="A5" s="9" t="s">
        <v>252</v>
      </c>
      <c r="B5" s="9" t="s">
        <v>147</v>
      </c>
      <c r="C5" s="9">
        <v>2</v>
      </c>
      <c r="D5" s="9" t="s">
        <v>253</v>
      </c>
      <c r="E5" s="9" t="s">
        <v>254</v>
      </c>
      <c r="F5" s="9" t="s">
        <v>255</v>
      </c>
      <c r="G5" s="9" t="s">
        <v>256</v>
      </c>
      <c r="H5" s="9" t="s">
        <v>247</v>
      </c>
      <c r="I5" s="9" t="s">
        <v>73</v>
      </c>
      <c r="J5" s="11" t="s">
        <v>44</v>
      </c>
      <c r="K5" s="1" t="s">
        <v>257</v>
      </c>
      <c r="L5" s="1" t="s">
        <v>250</v>
      </c>
      <c r="N5" s="1" t="s">
        <v>258</v>
      </c>
    </row>
    <row r="6" ht="42" customHeight="1" spans="1:14" x14ac:dyDescent="0.25">
      <c r="A6" s="9" t="s">
        <v>259</v>
      </c>
      <c r="B6" s="9" t="s">
        <v>147</v>
      </c>
      <c r="C6" s="9">
        <v>3</v>
      </c>
      <c r="D6" s="9" t="s">
        <v>260</v>
      </c>
      <c r="E6" s="9" t="s">
        <v>261</v>
      </c>
      <c r="F6" s="9" t="s">
        <v>262</v>
      </c>
      <c r="G6" s="9" t="s">
        <v>263</v>
      </c>
      <c r="H6" s="9" t="s">
        <v>247</v>
      </c>
      <c r="I6" s="9" t="s">
        <v>264</v>
      </c>
      <c r="J6" s="11" t="s">
        <v>248</v>
      </c>
      <c r="K6" s="1" t="s">
        <v>249</v>
      </c>
      <c r="L6" s="1" t="s">
        <v>250</v>
      </c>
      <c r="N6" s="1" t="s">
        <v>251</v>
      </c>
    </row>
    <row r="7" ht="42" customHeight="1" spans="1:14" x14ac:dyDescent="0.25">
      <c r="A7" s="9" t="s">
        <v>265</v>
      </c>
      <c r="B7" s="9" t="s">
        <v>147</v>
      </c>
      <c r="C7" s="9">
        <v>4</v>
      </c>
      <c r="D7" s="9" t="s">
        <v>266</v>
      </c>
      <c r="E7" s="9" t="s">
        <v>267</v>
      </c>
      <c r="F7" s="9" t="s">
        <v>268</v>
      </c>
      <c r="G7" s="9" t="s">
        <v>246</v>
      </c>
      <c r="H7" s="9" t="s">
        <v>269</v>
      </c>
      <c r="I7" s="9" t="s">
        <v>73</v>
      </c>
      <c r="J7" s="11" t="s">
        <v>248</v>
      </c>
      <c r="K7" s="1" t="s">
        <v>249</v>
      </c>
      <c r="L7" s="1" t="s">
        <v>250</v>
      </c>
      <c r="N7" s="1" t="s">
        <v>251</v>
      </c>
    </row>
    <row r="8" ht="42" customHeight="1" spans="1:14" x14ac:dyDescent="0.25">
      <c r="A8" s="9" t="s">
        <v>270</v>
      </c>
      <c r="B8" s="9" t="s">
        <v>152</v>
      </c>
      <c r="C8" s="9">
        <v>1</v>
      </c>
      <c r="D8" s="9" t="s">
        <v>253</v>
      </c>
      <c r="E8" s="9" t="s">
        <v>271</v>
      </c>
      <c r="F8" s="9" t="s">
        <v>272</v>
      </c>
      <c r="G8" s="9" t="s">
        <v>256</v>
      </c>
      <c r="H8" s="9" t="s">
        <v>269</v>
      </c>
      <c r="I8" s="9" t="s">
        <v>81</v>
      </c>
      <c r="J8" s="11" t="s">
        <v>248</v>
      </c>
      <c r="K8" s="1" t="s">
        <v>257</v>
      </c>
      <c r="L8" s="1" t="s">
        <v>250</v>
      </c>
      <c r="N8" s="1" t="s">
        <v>273</v>
      </c>
    </row>
    <row r="9" ht="42" customHeight="1" spans="1:14" x14ac:dyDescent="0.25">
      <c r="A9" s="9" t="s">
        <v>274</v>
      </c>
      <c r="B9" s="9" t="s">
        <v>152</v>
      </c>
      <c r="C9" s="9">
        <v>2</v>
      </c>
      <c r="D9" s="9" t="s">
        <v>275</v>
      </c>
      <c r="E9" s="9" t="s">
        <v>276</v>
      </c>
      <c r="F9" s="9" t="s">
        <v>277</v>
      </c>
      <c r="G9" s="9" t="s">
        <v>263</v>
      </c>
      <c r="H9" s="9" t="s">
        <v>269</v>
      </c>
      <c r="I9" s="9" t="s">
        <v>81</v>
      </c>
      <c r="J9" s="11" t="s">
        <v>248</v>
      </c>
      <c r="K9" s="1" t="s">
        <v>257</v>
      </c>
      <c r="L9" s="1" t="s">
        <v>250</v>
      </c>
      <c r="N9" s="1" t="s">
        <v>278</v>
      </c>
    </row>
    <row r="10" ht="42" customHeight="1" spans="1:14" x14ac:dyDescent="0.25">
      <c r="A10" s="9" t="s">
        <v>279</v>
      </c>
      <c r="B10" s="9" t="s">
        <v>156</v>
      </c>
      <c r="C10" s="9">
        <v>1</v>
      </c>
      <c r="D10" s="9" t="s">
        <v>253</v>
      </c>
      <c r="E10" s="9" t="s">
        <v>280</v>
      </c>
      <c r="F10" s="9" t="s">
        <v>281</v>
      </c>
      <c r="G10" s="9" t="s">
        <v>256</v>
      </c>
      <c r="H10" s="9" t="s">
        <v>247</v>
      </c>
      <c r="I10" s="9" t="s">
        <v>282</v>
      </c>
      <c r="J10" s="11" t="s">
        <v>44</v>
      </c>
      <c r="K10" s="1" t="s">
        <v>283</v>
      </c>
      <c r="L10" s="1" t="s">
        <v>284</v>
      </c>
      <c r="N10" s="1" t="s">
        <v>285</v>
      </c>
    </row>
    <row r="11" ht="42" customHeight="1" spans="1:14" x14ac:dyDescent="0.25">
      <c r="A11" s="9" t="s">
        <v>286</v>
      </c>
      <c r="B11" s="9" t="s">
        <v>156</v>
      </c>
      <c r="C11" s="9">
        <v>2</v>
      </c>
      <c r="D11" s="9" t="s">
        <v>260</v>
      </c>
      <c r="E11" s="9" t="s">
        <v>287</v>
      </c>
      <c r="F11" s="9" t="s">
        <v>288</v>
      </c>
      <c r="G11" s="9" t="s">
        <v>263</v>
      </c>
      <c r="H11" s="9" t="s">
        <v>247</v>
      </c>
      <c r="I11" s="9" t="s">
        <v>289</v>
      </c>
      <c r="J11" s="11" t="s">
        <v>248</v>
      </c>
      <c r="K11" s="1" t="s">
        <v>257</v>
      </c>
      <c r="L11" s="1" t="s">
        <v>250</v>
      </c>
      <c r="N11" s="1" t="s">
        <v>290</v>
      </c>
    </row>
    <row r="12" ht="42" customHeight="1" spans="1:14" x14ac:dyDescent="0.25">
      <c r="A12" s="9" t="s">
        <v>291</v>
      </c>
      <c r="B12" s="9" t="s">
        <v>156</v>
      </c>
      <c r="C12" s="9">
        <v>3</v>
      </c>
      <c r="D12" s="9" t="s">
        <v>292</v>
      </c>
      <c r="E12" s="9" t="s">
        <v>293</v>
      </c>
      <c r="F12" s="9" t="s">
        <v>294</v>
      </c>
      <c r="G12" s="9" t="s">
        <v>56</v>
      </c>
      <c r="H12" s="9" t="s">
        <v>247</v>
      </c>
      <c r="I12" s="9" t="s">
        <v>295</v>
      </c>
      <c r="J12" s="11" t="s">
        <v>248</v>
      </c>
      <c r="K12" s="1" t="s">
        <v>257</v>
      </c>
      <c r="L12" s="1" t="s">
        <v>250</v>
      </c>
      <c r="N12" s="1" t="s">
        <v>290</v>
      </c>
    </row>
    <row r="13" ht="42" customHeight="1" spans="1:14" x14ac:dyDescent="0.25">
      <c r="A13" s="9" t="s">
        <v>296</v>
      </c>
      <c r="B13" s="9" t="s">
        <v>161</v>
      </c>
      <c r="C13" s="9">
        <v>1</v>
      </c>
      <c r="D13" s="9" t="s">
        <v>297</v>
      </c>
      <c r="E13" s="9" t="s">
        <v>298</v>
      </c>
      <c r="F13" s="9" t="s">
        <v>299</v>
      </c>
      <c r="G13" s="9" t="s">
        <v>246</v>
      </c>
      <c r="H13" s="9" t="s">
        <v>269</v>
      </c>
      <c r="I13" s="9" t="s">
        <v>300</v>
      </c>
      <c r="J13" s="11" t="s">
        <v>44</v>
      </c>
      <c r="K13" s="1" t="s">
        <v>283</v>
      </c>
      <c r="L13" s="1" t="s">
        <v>284</v>
      </c>
      <c r="N13" s="1" t="s">
        <v>301</v>
      </c>
    </row>
    <row r="14" ht="42" customHeight="1" spans="1:14" x14ac:dyDescent="0.25">
      <c r="A14" s="9" t="s">
        <v>302</v>
      </c>
      <c r="B14" s="9" t="s">
        <v>161</v>
      </c>
      <c r="C14" s="9">
        <v>2</v>
      </c>
      <c r="D14" s="9" t="s">
        <v>303</v>
      </c>
      <c r="E14" s="9" t="s">
        <v>304</v>
      </c>
      <c r="F14" s="9" t="s">
        <v>305</v>
      </c>
      <c r="G14" s="9" t="s">
        <v>263</v>
      </c>
      <c r="H14" s="9" t="s">
        <v>247</v>
      </c>
      <c r="I14" s="9" t="s">
        <v>306</v>
      </c>
      <c r="J14" s="11" t="s">
        <v>248</v>
      </c>
      <c r="K14" s="1" t="s">
        <v>257</v>
      </c>
      <c r="L14" s="1" t="s">
        <v>250</v>
      </c>
      <c r="N14" s="1" t="s">
        <v>290</v>
      </c>
    </row>
    <row r="15" ht="42" customHeight="1" spans="1:14" x14ac:dyDescent="0.25">
      <c r="A15" s="9" t="s">
        <v>307</v>
      </c>
      <c r="B15" s="9" t="s">
        <v>161</v>
      </c>
      <c r="C15" s="9">
        <v>3</v>
      </c>
      <c r="D15" s="9" t="s">
        <v>308</v>
      </c>
      <c r="E15" s="9" t="s">
        <v>309</v>
      </c>
      <c r="F15" s="9" t="s">
        <v>310</v>
      </c>
      <c r="G15" s="9" t="s">
        <v>263</v>
      </c>
      <c r="H15" s="9" t="s">
        <v>247</v>
      </c>
      <c r="I15" s="9" t="s">
        <v>311</v>
      </c>
      <c r="J15" s="11" t="s">
        <v>248</v>
      </c>
      <c r="K15" s="1" t="s">
        <v>257</v>
      </c>
      <c r="L15" s="1" t="s">
        <v>250</v>
      </c>
      <c r="N15" s="1" t="s">
        <v>290</v>
      </c>
    </row>
    <row r="16" ht="42" customHeight="1" spans="1:14" x14ac:dyDescent="0.25">
      <c r="A16" s="9" t="s">
        <v>312</v>
      </c>
      <c r="B16" s="9" t="s">
        <v>166</v>
      </c>
      <c r="C16" s="9">
        <v>1</v>
      </c>
      <c r="D16" s="9" t="s">
        <v>253</v>
      </c>
      <c r="E16" s="9" t="s">
        <v>313</v>
      </c>
      <c r="F16" s="9" t="s">
        <v>314</v>
      </c>
      <c r="G16" s="9" t="s">
        <v>256</v>
      </c>
      <c r="H16" s="9" t="s">
        <v>247</v>
      </c>
      <c r="I16" s="9" t="s">
        <v>93</v>
      </c>
      <c r="J16" s="11" t="s">
        <v>44</v>
      </c>
      <c r="K16" s="1" t="s">
        <v>283</v>
      </c>
      <c r="L16" s="1" t="s">
        <v>284</v>
      </c>
      <c r="N16" s="1" t="s">
        <v>315</v>
      </c>
    </row>
    <row r="17" ht="42" customHeight="1" spans="1:14" x14ac:dyDescent="0.25">
      <c r="A17" s="9" t="s">
        <v>316</v>
      </c>
      <c r="B17" s="9" t="s">
        <v>166</v>
      </c>
      <c r="C17" s="9">
        <v>2</v>
      </c>
      <c r="D17" s="9" t="s">
        <v>317</v>
      </c>
      <c r="E17" s="9" t="s">
        <v>318</v>
      </c>
      <c r="F17" s="9" t="s">
        <v>319</v>
      </c>
      <c r="G17" s="9" t="s">
        <v>320</v>
      </c>
      <c r="H17" s="9" t="s">
        <v>247</v>
      </c>
      <c r="I17" s="9" t="s">
        <v>93</v>
      </c>
      <c r="J17" s="11" t="s">
        <v>44</v>
      </c>
      <c r="K17" s="1" t="s">
        <v>283</v>
      </c>
      <c r="L17" s="1" t="s">
        <v>284</v>
      </c>
      <c r="N17" s="1" t="s">
        <v>321</v>
      </c>
    </row>
    <row r="18" ht="42" customHeight="1" spans="1:14" x14ac:dyDescent="0.25">
      <c r="A18" s="9" t="s">
        <v>322</v>
      </c>
      <c r="B18" s="9" t="s">
        <v>166</v>
      </c>
      <c r="C18" s="9">
        <v>3</v>
      </c>
      <c r="D18" s="9" t="s">
        <v>323</v>
      </c>
      <c r="E18" s="9" t="s">
        <v>324</v>
      </c>
      <c r="F18" s="9" t="s">
        <v>325</v>
      </c>
      <c r="G18" s="9" t="s">
        <v>263</v>
      </c>
      <c r="H18" s="9" t="s">
        <v>247</v>
      </c>
      <c r="I18" s="9" t="s">
        <v>93</v>
      </c>
      <c r="J18" s="11" t="s">
        <v>248</v>
      </c>
      <c r="K18" s="1" t="s">
        <v>257</v>
      </c>
      <c r="L18" s="1" t="s">
        <v>250</v>
      </c>
      <c r="N18" s="1" t="s">
        <v>326</v>
      </c>
    </row>
    <row r="19" ht="42" customHeight="1" spans="1:14" x14ac:dyDescent="0.25">
      <c r="A19" s="9" t="s">
        <v>327</v>
      </c>
      <c r="B19" s="9" t="s">
        <v>166</v>
      </c>
      <c r="C19" s="9">
        <v>4</v>
      </c>
      <c r="D19" s="9" t="s">
        <v>328</v>
      </c>
      <c r="E19" s="9" t="s">
        <v>329</v>
      </c>
      <c r="F19" s="9" t="s">
        <v>330</v>
      </c>
      <c r="G19" s="9" t="s">
        <v>320</v>
      </c>
      <c r="H19" s="9" t="s">
        <v>247</v>
      </c>
      <c r="I19" s="9" t="s">
        <v>93</v>
      </c>
      <c r="J19" s="11" t="s">
        <v>248</v>
      </c>
      <c r="K19" s="1" t="s">
        <v>257</v>
      </c>
      <c r="L19" s="1" t="s">
        <v>250</v>
      </c>
      <c r="N19" s="1" t="s">
        <v>331</v>
      </c>
    </row>
    <row r="20" ht="42" customHeight="1" spans="1:14" x14ac:dyDescent="0.25">
      <c r="A20" s="9" t="s">
        <v>332</v>
      </c>
      <c r="B20" s="9" t="s">
        <v>166</v>
      </c>
      <c r="C20" s="9">
        <v>5</v>
      </c>
      <c r="D20" s="9" t="s">
        <v>333</v>
      </c>
      <c r="E20" s="9" t="s">
        <v>334</v>
      </c>
      <c r="F20" s="9" t="s">
        <v>335</v>
      </c>
      <c r="G20" s="9" t="s">
        <v>56</v>
      </c>
      <c r="H20" s="9" t="s">
        <v>247</v>
      </c>
      <c r="I20" s="9" t="s">
        <v>169</v>
      </c>
      <c r="J20" s="11" t="s">
        <v>248</v>
      </c>
      <c r="K20" s="1" t="s">
        <v>257</v>
      </c>
      <c r="L20" s="1" t="s">
        <v>250</v>
      </c>
      <c r="N20" s="1" t="s">
        <v>336</v>
      </c>
    </row>
    <row r="21" ht="42" customHeight="1" spans="1:14" x14ac:dyDescent="0.25">
      <c r="A21" s="9" t="s">
        <v>337</v>
      </c>
      <c r="B21" s="9" t="s">
        <v>171</v>
      </c>
      <c r="C21" s="9">
        <v>1</v>
      </c>
      <c r="D21" s="9" t="s">
        <v>253</v>
      </c>
      <c r="E21" s="9" t="s">
        <v>338</v>
      </c>
      <c r="F21" s="9" t="s">
        <v>339</v>
      </c>
      <c r="G21" s="9" t="s">
        <v>256</v>
      </c>
      <c r="H21" s="9" t="s">
        <v>247</v>
      </c>
      <c r="I21" s="9" t="s">
        <v>115</v>
      </c>
      <c r="J21" s="11" t="s">
        <v>44</v>
      </c>
      <c r="K21" s="1" t="s">
        <v>283</v>
      </c>
      <c r="L21" s="1" t="s">
        <v>284</v>
      </c>
      <c r="N21" s="1" t="s">
        <v>340</v>
      </c>
    </row>
    <row r="22" ht="42" customHeight="1" spans="1:14" x14ac:dyDescent="0.25">
      <c r="A22" s="9" t="s">
        <v>341</v>
      </c>
      <c r="B22" s="9" t="s">
        <v>171</v>
      </c>
      <c r="C22" s="9">
        <v>2</v>
      </c>
      <c r="D22" s="9" t="s">
        <v>260</v>
      </c>
      <c r="E22" s="9" t="s">
        <v>342</v>
      </c>
      <c r="F22" s="9" t="s">
        <v>343</v>
      </c>
      <c r="G22" s="9" t="s">
        <v>263</v>
      </c>
      <c r="H22" s="9" t="s">
        <v>247</v>
      </c>
      <c r="I22" s="9" t="s">
        <v>203</v>
      </c>
      <c r="J22" s="11" t="s">
        <v>248</v>
      </c>
      <c r="K22" s="1" t="s">
        <v>257</v>
      </c>
      <c r="L22" s="1" t="s">
        <v>250</v>
      </c>
      <c r="N22" s="1" t="s">
        <v>344</v>
      </c>
    </row>
    <row r="23" ht="42" customHeight="1" spans="1:14" x14ac:dyDescent="0.25">
      <c r="A23" s="9" t="s">
        <v>345</v>
      </c>
      <c r="B23" s="9" t="s">
        <v>171</v>
      </c>
      <c r="C23" s="9">
        <v>3</v>
      </c>
      <c r="D23" s="9" t="s">
        <v>346</v>
      </c>
      <c r="E23" s="9" t="s">
        <v>347</v>
      </c>
      <c r="F23" s="9" t="s">
        <v>348</v>
      </c>
      <c r="G23" s="9" t="s">
        <v>263</v>
      </c>
      <c r="H23" s="9" t="s">
        <v>247</v>
      </c>
      <c r="I23" s="9" t="s">
        <v>115</v>
      </c>
      <c r="J23" s="11" t="s">
        <v>248</v>
      </c>
      <c r="K23" s="1" t="s">
        <v>257</v>
      </c>
      <c r="L23" s="1" t="s">
        <v>250</v>
      </c>
      <c r="N23" s="1" t="s">
        <v>344</v>
      </c>
    </row>
    <row r="24" ht="42" customHeight="1" spans="1:14" x14ac:dyDescent="0.25">
      <c r="A24" s="9" t="s">
        <v>349</v>
      </c>
      <c r="B24" s="9" t="s">
        <v>171</v>
      </c>
      <c r="C24" s="9">
        <v>4</v>
      </c>
      <c r="D24" s="9" t="s">
        <v>350</v>
      </c>
      <c r="E24" s="9" t="s">
        <v>351</v>
      </c>
      <c r="F24" s="9" t="s">
        <v>352</v>
      </c>
      <c r="G24" s="9" t="s">
        <v>263</v>
      </c>
      <c r="H24" s="9" t="s">
        <v>269</v>
      </c>
      <c r="I24" s="9" t="s">
        <v>115</v>
      </c>
      <c r="J24" s="11" t="s">
        <v>248</v>
      </c>
      <c r="K24" s="1" t="s">
        <v>257</v>
      </c>
      <c r="L24" s="1" t="s">
        <v>250</v>
      </c>
      <c r="N24" s="1" t="s">
        <v>344</v>
      </c>
    </row>
    <row r="25" ht="42" customHeight="1" spans="1:14" x14ac:dyDescent="0.25">
      <c r="A25" s="9" t="s">
        <v>353</v>
      </c>
      <c r="B25" s="9" t="s">
        <v>171</v>
      </c>
      <c r="C25" s="9">
        <v>5</v>
      </c>
      <c r="D25" s="9" t="s">
        <v>354</v>
      </c>
      <c r="E25" s="9" t="s">
        <v>355</v>
      </c>
      <c r="F25" s="9" t="s">
        <v>356</v>
      </c>
      <c r="G25" s="9" t="s">
        <v>56</v>
      </c>
      <c r="H25" s="9" t="s">
        <v>247</v>
      </c>
      <c r="I25" s="9" t="s">
        <v>169</v>
      </c>
      <c r="J25" s="11" t="s">
        <v>248</v>
      </c>
      <c r="K25" s="1" t="s">
        <v>257</v>
      </c>
      <c r="L25" s="1" t="s">
        <v>250</v>
      </c>
      <c r="N25" s="1" t="s">
        <v>344</v>
      </c>
    </row>
    <row r="26" ht="42" customHeight="1" spans="1:14" x14ac:dyDescent="0.25">
      <c r="A26" s="9" t="s">
        <v>357</v>
      </c>
      <c r="B26" s="9" t="s">
        <v>176</v>
      </c>
      <c r="C26" s="9">
        <v>1</v>
      </c>
      <c r="D26" s="9" t="s">
        <v>253</v>
      </c>
      <c r="E26" s="9" t="s">
        <v>358</v>
      </c>
      <c r="F26" s="9" t="s">
        <v>359</v>
      </c>
      <c r="G26" s="9" t="s">
        <v>256</v>
      </c>
      <c r="H26" s="9" t="s">
        <v>247</v>
      </c>
      <c r="I26" s="9" t="s">
        <v>119</v>
      </c>
      <c r="J26" s="11" t="s">
        <v>44</v>
      </c>
      <c r="K26" s="1" t="s">
        <v>283</v>
      </c>
      <c r="L26" s="1" t="s">
        <v>284</v>
      </c>
      <c r="N26" s="1" t="s">
        <v>360</v>
      </c>
    </row>
    <row r="27" ht="42" customHeight="1" spans="1:14" x14ac:dyDescent="0.25">
      <c r="A27" s="9" t="s">
        <v>361</v>
      </c>
      <c r="B27" s="9" t="s">
        <v>176</v>
      </c>
      <c r="C27" s="9">
        <v>2</v>
      </c>
      <c r="D27" s="9" t="s">
        <v>260</v>
      </c>
      <c r="E27" s="9" t="s">
        <v>355</v>
      </c>
      <c r="F27" s="9" t="s">
        <v>362</v>
      </c>
      <c r="G27" s="9" t="s">
        <v>263</v>
      </c>
      <c r="H27" s="9" t="s">
        <v>247</v>
      </c>
      <c r="I27" s="9" t="s">
        <v>363</v>
      </c>
      <c r="J27" s="11" t="s">
        <v>248</v>
      </c>
      <c r="K27" s="1" t="s">
        <v>257</v>
      </c>
      <c r="L27" s="1" t="s">
        <v>250</v>
      </c>
      <c r="N27" s="1" t="s">
        <v>344</v>
      </c>
    </row>
    <row r="28" ht="42" customHeight="1" spans="1:14" x14ac:dyDescent="0.25">
      <c r="A28" s="9" t="s">
        <v>364</v>
      </c>
      <c r="B28" s="9" t="s">
        <v>176</v>
      </c>
      <c r="C28" s="9">
        <v>3</v>
      </c>
      <c r="D28" s="9" t="s">
        <v>365</v>
      </c>
      <c r="E28" s="9" t="s">
        <v>366</v>
      </c>
      <c r="F28" s="9" t="s">
        <v>367</v>
      </c>
      <c r="G28" s="9" t="s">
        <v>263</v>
      </c>
      <c r="H28" s="9" t="s">
        <v>269</v>
      </c>
      <c r="I28" s="9" t="s">
        <v>119</v>
      </c>
      <c r="J28" s="11" t="s">
        <v>248</v>
      </c>
      <c r="K28" s="1" t="s">
        <v>257</v>
      </c>
      <c r="L28" s="1" t="s">
        <v>250</v>
      </c>
      <c r="N28" s="1" t="s">
        <v>344</v>
      </c>
    </row>
    <row r="29" ht="42" customHeight="1" spans="1:14" x14ac:dyDescent="0.25">
      <c r="A29" s="9" t="s">
        <v>368</v>
      </c>
      <c r="B29" s="9" t="s">
        <v>181</v>
      </c>
      <c r="C29" s="9">
        <v>1</v>
      </c>
      <c r="D29" s="9" t="s">
        <v>253</v>
      </c>
      <c r="E29" s="9" t="s">
        <v>369</v>
      </c>
      <c r="F29" s="9" t="s">
        <v>370</v>
      </c>
      <c r="G29" s="9" t="s">
        <v>256</v>
      </c>
      <c r="H29" s="9" t="s">
        <v>247</v>
      </c>
      <c r="I29" s="9" t="s">
        <v>122</v>
      </c>
      <c r="J29" s="11" t="s">
        <v>45</v>
      </c>
      <c r="K29" s="1" t="s">
        <v>257</v>
      </c>
      <c r="L29" s="1" t="s">
        <v>250</v>
      </c>
      <c r="N29" s="1" t="s">
        <v>371</v>
      </c>
    </row>
    <row r="30" ht="42" customHeight="1" spans="1:14" x14ac:dyDescent="0.25">
      <c r="A30" s="9" t="s">
        <v>372</v>
      </c>
      <c r="B30" s="9" t="s">
        <v>181</v>
      </c>
      <c r="C30" s="9">
        <v>2</v>
      </c>
      <c r="D30" s="9" t="s">
        <v>260</v>
      </c>
      <c r="E30" s="9" t="s">
        <v>373</v>
      </c>
      <c r="F30" s="9" t="s">
        <v>374</v>
      </c>
      <c r="G30" s="9" t="s">
        <v>263</v>
      </c>
      <c r="H30" s="9" t="s">
        <v>247</v>
      </c>
      <c r="I30" s="9" t="s">
        <v>375</v>
      </c>
      <c r="J30" s="11" t="s">
        <v>248</v>
      </c>
      <c r="K30" s="1" t="s">
        <v>257</v>
      </c>
      <c r="L30" s="1" t="s">
        <v>250</v>
      </c>
      <c r="N30" s="1" t="s">
        <v>344</v>
      </c>
    </row>
    <row r="31" ht="42" customHeight="1" spans="1:14" x14ac:dyDescent="0.25">
      <c r="A31" s="9" t="s">
        <v>376</v>
      </c>
      <c r="B31" s="9" t="s">
        <v>181</v>
      </c>
      <c r="C31" s="9">
        <v>3</v>
      </c>
      <c r="D31" s="9" t="s">
        <v>377</v>
      </c>
      <c r="E31" s="9" t="s">
        <v>347</v>
      </c>
      <c r="F31" s="9" t="s">
        <v>378</v>
      </c>
      <c r="G31" s="9" t="s">
        <v>263</v>
      </c>
      <c r="H31" s="9" t="s">
        <v>269</v>
      </c>
      <c r="I31" s="9" t="s">
        <v>122</v>
      </c>
      <c r="J31" s="11" t="s">
        <v>248</v>
      </c>
      <c r="K31" s="1" t="s">
        <v>257</v>
      </c>
      <c r="L31" s="1" t="s">
        <v>250</v>
      </c>
      <c r="N31" s="1" t="s">
        <v>344</v>
      </c>
    </row>
    <row r="32" ht="42" customHeight="1" spans="1:14" x14ac:dyDescent="0.25">
      <c r="A32" s="9" t="s">
        <v>379</v>
      </c>
      <c r="B32" s="9" t="s">
        <v>186</v>
      </c>
      <c r="C32" s="9">
        <v>1</v>
      </c>
      <c r="D32" s="9" t="s">
        <v>253</v>
      </c>
      <c r="E32" s="9" t="s">
        <v>380</v>
      </c>
      <c r="F32" s="9" t="s">
        <v>381</v>
      </c>
      <c r="G32" s="9" t="s">
        <v>256</v>
      </c>
      <c r="H32" s="9" t="s">
        <v>247</v>
      </c>
      <c r="I32" s="9" t="s">
        <v>125</v>
      </c>
      <c r="J32" s="11" t="s">
        <v>248</v>
      </c>
      <c r="K32" s="1" t="s">
        <v>257</v>
      </c>
      <c r="L32" s="1" t="s">
        <v>250</v>
      </c>
      <c r="N32" s="1" t="s">
        <v>382</v>
      </c>
    </row>
    <row r="33" ht="42" customHeight="1" spans="1:14" x14ac:dyDescent="0.25">
      <c r="A33" s="9" t="s">
        <v>383</v>
      </c>
      <c r="B33" s="9" t="s">
        <v>186</v>
      </c>
      <c r="C33" s="9">
        <v>2</v>
      </c>
      <c r="D33" s="9" t="s">
        <v>260</v>
      </c>
      <c r="E33" s="9" t="s">
        <v>384</v>
      </c>
      <c r="F33" s="9" t="s">
        <v>385</v>
      </c>
      <c r="G33" s="9" t="s">
        <v>263</v>
      </c>
      <c r="H33" s="9" t="s">
        <v>247</v>
      </c>
      <c r="I33" s="9" t="s">
        <v>386</v>
      </c>
      <c r="J33" s="11" t="s">
        <v>248</v>
      </c>
      <c r="K33" s="1" t="s">
        <v>257</v>
      </c>
      <c r="L33" s="1" t="s">
        <v>250</v>
      </c>
      <c r="N33" s="1" t="s">
        <v>344</v>
      </c>
    </row>
    <row r="34" ht="42" customHeight="1" spans="1:10" x14ac:dyDescent="0.25">
      <c r="A34" s="9" t="s">
        <v>387</v>
      </c>
      <c r="B34" s="9" t="s">
        <v>186</v>
      </c>
      <c r="C34" s="9">
        <v>3</v>
      </c>
      <c r="D34" s="9" t="s">
        <v>388</v>
      </c>
      <c r="E34" s="9" t="s">
        <v>389</v>
      </c>
      <c r="F34" s="9" t="s">
        <v>390</v>
      </c>
      <c r="G34" s="9" t="s">
        <v>263</v>
      </c>
      <c r="H34" s="9" t="s">
        <v>269</v>
      </c>
      <c r="I34" s="9" t="s">
        <v>125</v>
      </c>
      <c r="J34" s="11" t="s">
        <v>20</v>
      </c>
    </row>
    <row r="35" ht="42" customHeight="1" spans="1:14" x14ac:dyDescent="0.25">
      <c r="A35" s="9" t="s">
        <v>391</v>
      </c>
      <c r="B35" s="9" t="s">
        <v>191</v>
      </c>
      <c r="C35" s="9">
        <v>1</v>
      </c>
      <c r="D35" s="9" t="s">
        <v>253</v>
      </c>
      <c r="E35" s="9" t="s">
        <v>392</v>
      </c>
      <c r="F35" s="9" t="s">
        <v>393</v>
      </c>
      <c r="G35" s="9" t="s">
        <v>256</v>
      </c>
      <c r="H35" s="9" t="s">
        <v>247</v>
      </c>
      <c r="I35" s="9" t="s">
        <v>394</v>
      </c>
      <c r="J35" s="11" t="s">
        <v>248</v>
      </c>
      <c r="K35" s="1" t="s">
        <v>257</v>
      </c>
      <c r="L35" s="1" t="s">
        <v>250</v>
      </c>
      <c r="N35" s="1" t="s">
        <v>395</v>
      </c>
    </row>
    <row r="36" ht="42" customHeight="1" spans="1:14" x14ac:dyDescent="0.25">
      <c r="A36" s="9" t="s">
        <v>396</v>
      </c>
      <c r="B36" s="9" t="s">
        <v>191</v>
      </c>
      <c r="C36" s="9">
        <v>2</v>
      </c>
      <c r="D36" s="9" t="s">
        <v>260</v>
      </c>
      <c r="E36" s="9" t="s">
        <v>397</v>
      </c>
      <c r="F36" s="9" t="s">
        <v>398</v>
      </c>
      <c r="G36" s="9" t="s">
        <v>263</v>
      </c>
      <c r="H36" s="9" t="s">
        <v>247</v>
      </c>
      <c r="I36" s="9" t="s">
        <v>399</v>
      </c>
      <c r="J36" s="11" t="s">
        <v>248</v>
      </c>
      <c r="K36" s="1" t="s">
        <v>257</v>
      </c>
      <c r="L36" s="1" t="s">
        <v>250</v>
      </c>
      <c r="N36" s="1" t="s">
        <v>344</v>
      </c>
    </row>
    <row r="37" ht="42" customHeight="1" spans="1:14" x14ac:dyDescent="0.25">
      <c r="A37" s="9" t="s">
        <v>400</v>
      </c>
      <c r="B37" s="9" t="s">
        <v>191</v>
      </c>
      <c r="C37" s="9">
        <v>3</v>
      </c>
      <c r="D37" s="9" t="s">
        <v>401</v>
      </c>
      <c r="E37" s="9" t="s">
        <v>402</v>
      </c>
      <c r="F37" s="9" t="s">
        <v>403</v>
      </c>
      <c r="G37" s="9" t="s">
        <v>263</v>
      </c>
      <c r="H37" s="9" t="s">
        <v>247</v>
      </c>
      <c r="I37" s="9" t="s">
        <v>106</v>
      </c>
      <c r="J37" s="11" t="s">
        <v>248</v>
      </c>
      <c r="K37" s="1" t="s">
        <v>257</v>
      </c>
      <c r="L37" s="1" t="s">
        <v>250</v>
      </c>
      <c r="N37" s="1" t="s">
        <v>344</v>
      </c>
    </row>
    <row r="38" ht="42" customHeight="1" spans="1:14" x14ac:dyDescent="0.25">
      <c r="A38" s="9" t="s">
        <v>404</v>
      </c>
      <c r="B38" s="9" t="s">
        <v>191</v>
      </c>
      <c r="C38" s="9">
        <v>4</v>
      </c>
      <c r="D38" s="9" t="s">
        <v>405</v>
      </c>
      <c r="E38" s="9" t="s">
        <v>406</v>
      </c>
      <c r="F38" s="9" t="s">
        <v>407</v>
      </c>
      <c r="G38" s="9" t="s">
        <v>263</v>
      </c>
      <c r="H38" s="9" t="s">
        <v>269</v>
      </c>
      <c r="I38" s="9" t="s">
        <v>106</v>
      </c>
      <c r="J38" s="11" t="s">
        <v>248</v>
      </c>
      <c r="K38" s="1" t="s">
        <v>257</v>
      </c>
      <c r="L38" s="1" t="s">
        <v>250</v>
      </c>
      <c r="N38" s="1" t="s">
        <v>344</v>
      </c>
    </row>
    <row r="39" ht="42" customHeight="1" spans="1:14" x14ac:dyDescent="0.25">
      <c r="A39" s="9" t="s">
        <v>408</v>
      </c>
      <c r="B39" s="9" t="s">
        <v>196</v>
      </c>
      <c r="C39" s="9">
        <v>1</v>
      </c>
      <c r="D39" s="9" t="s">
        <v>409</v>
      </c>
      <c r="E39" s="9" t="s">
        <v>410</v>
      </c>
      <c r="F39" s="9" t="s">
        <v>411</v>
      </c>
      <c r="G39" s="9" t="s">
        <v>320</v>
      </c>
      <c r="H39" s="9" t="s">
        <v>247</v>
      </c>
      <c r="I39" s="9" t="s">
        <v>93</v>
      </c>
      <c r="J39" s="11" t="s">
        <v>248</v>
      </c>
      <c r="K39" s="1" t="s">
        <v>249</v>
      </c>
      <c r="L39" s="1" t="s">
        <v>250</v>
      </c>
      <c r="N39" s="1" t="s">
        <v>412</v>
      </c>
    </row>
    <row r="40" ht="42" customHeight="1" spans="1:14" x14ac:dyDescent="0.25">
      <c r="A40" s="9" t="s">
        <v>413</v>
      </c>
      <c r="B40" s="9" t="s">
        <v>196</v>
      </c>
      <c r="C40" s="9">
        <v>2</v>
      </c>
      <c r="D40" s="9" t="s">
        <v>414</v>
      </c>
      <c r="E40" s="9" t="s">
        <v>415</v>
      </c>
      <c r="F40" s="9" t="s">
        <v>416</v>
      </c>
      <c r="G40" s="9" t="s">
        <v>320</v>
      </c>
      <c r="H40" s="9" t="s">
        <v>247</v>
      </c>
      <c r="I40" s="9" t="s">
        <v>93</v>
      </c>
      <c r="J40" s="11" t="s">
        <v>248</v>
      </c>
      <c r="K40" s="1" t="s">
        <v>249</v>
      </c>
      <c r="L40" s="1" t="s">
        <v>250</v>
      </c>
      <c r="N40" s="1" t="s">
        <v>412</v>
      </c>
    </row>
    <row r="41" ht="42" customHeight="1" spans="1:14" x14ac:dyDescent="0.25">
      <c r="A41" s="9" t="s">
        <v>417</v>
      </c>
      <c r="B41" s="9" t="s">
        <v>196</v>
      </c>
      <c r="C41" s="9">
        <v>3</v>
      </c>
      <c r="D41" s="9" t="s">
        <v>328</v>
      </c>
      <c r="E41" s="9" t="s">
        <v>329</v>
      </c>
      <c r="F41" s="9" t="s">
        <v>330</v>
      </c>
      <c r="G41" s="9" t="s">
        <v>320</v>
      </c>
      <c r="H41" s="9" t="s">
        <v>247</v>
      </c>
      <c r="I41" s="9" t="s">
        <v>93</v>
      </c>
      <c r="J41" s="11" t="s">
        <v>248</v>
      </c>
      <c r="K41" s="1" t="s">
        <v>249</v>
      </c>
      <c r="L41" s="1" t="s">
        <v>250</v>
      </c>
      <c r="N41" s="1" t="s">
        <v>412</v>
      </c>
    </row>
    <row r="42" ht="42" customHeight="1" spans="1:14" x14ac:dyDescent="0.25">
      <c r="A42" s="9" t="s">
        <v>418</v>
      </c>
      <c r="B42" s="9" t="s">
        <v>196</v>
      </c>
      <c r="C42" s="9">
        <v>4</v>
      </c>
      <c r="D42" s="9" t="s">
        <v>354</v>
      </c>
      <c r="E42" s="9" t="s">
        <v>334</v>
      </c>
      <c r="F42" s="9" t="s">
        <v>419</v>
      </c>
      <c r="G42" s="9" t="s">
        <v>263</v>
      </c>
      <c r="H42" s="9" t="s">
        <v>247</v>
      </c>
      <c r="I42" s="9" t="s">
        <v>169</v>
      </c>
      <c r="J42" s="11" t="s">
        <v>248</v>
      </c>
      <c r="K42" s="1" t="s">
        <v>249</v>
      </c>
      <c r="L42" s="1" t="s">
        <v>250</v>
      </c>
      <c r="N42" s="1" t="s">
        <v>412</v>
      </c>
    </row>
    <row r="43" ht="42" customHeight="1" spans="1:14" x14ac:dyDescent="0.25">
      <c r="A43" s="9" t="s">
        <v>420</v>
      </c>
      <c r="B43" s="9" t="s">
        <v>196</v>
      </c>
      <c r="C43" s="9">
        <v>5</v>
      </c>
      <c r="D43" s="9" t="s">
        <v>421</v>
      </c>
      <c r="E43" s="9" t="s">
        <v>422</v>
      </c>
      <c r="F43" s="9" t="s">
        <v>423</v>
      </c>
      <c r="G43" s="9" t="s">
        <v>56</v>
      </c>
      <c r="H43" s="9" t="s">
        <v>247</v>
      </c>
      <c r="I43" s="9" t="s">
        <v>169</v>
      </c>
      <c r="J43" s="11" t="s">
        <v>248</v>
      </c>
      <c r="K43" s="1" t="s">
        <v>249</v>
      </c>
      <c r="L43" s="1" t="s">
        <v>250</v>
      </c>
      <c r="N43" s="1" t="s">
        <v>412</v>
      </c>
    </row>
    <row r="44" ht="42" customHeight="1" spans="1:14" x14ac:dyDescent="0.25">
      <c r="A44" s="9" t="s">
        <v>424</v>
      </c>
      <c r="B44" s="9" t="s">
        <v>200</v>
      </c>
      <c r="C44" s="9">
        <v>1</v>
      </c>
      <c r="D44" s="9" t="s">
        <v>425</v>
      </c>
      <c r="E44" s="9" t="s">
        <v>426</v>
      </c>
      <c r="F44" s="9" t="s">
        <v>427</v>
      </c>
      <c r="G44" s="9" t="s">
        <v>263</v>
      </c>
      <c r="H44" s="9" t="s">
        <v>428</v>
      </c>
      <c r="I44" s="9" t="s">
        <v>203</v>
      </c>
      <c r="J44" s="11" t="s">
        <v>44</v>
      </c>
      <c r="K44" s="1" t="s">
        <v>283</v>
      </c>
      <c r="L44" s="1" t="s">
        <v>284</v>
      </c>
      <c r="N44" s="1" t="s">
        <v>429</v>
      </c>
    </row>
    <row r="45" ht="42" customHeight="1" spans="1:14" x14ac:dyDescent="0.25">
      <c r="A45" s="9" t="s">
        <v>430</v>
      </c>
      <c r="B45" s="9" t="s">
        <v>200</v>
      </c>
      <c r="C45" s="9">
        <v>2</v>
      </c>
      <c r="D45" s="9" t="s">
        <v>425</v>
      </c>
      <c r="E45" s="9" t="s">
        <v>431</v>
      </c>
      <c r="F45" s="9" t="s">
        <v>427</v>
      </c>
      <c r="G45" s="9" t="s">
        <v>263</v>
      </c>
      <c r="H45" s="9" t="s">
        <v>428</v>
      </c>
      <c r="I45" s="9" t="s">
        <v>203</v>
      </c>
      <c r="J45" s="11" t="s">
        <v>44</v>
      </c>
      <c r="K45" s="1" t="s">
        <v>283</v>
      </c>
      <c r="L45" s="1" t="s">
        <v>284</v>
      </c>
      <c r="N45" s="1" t="s">
        <v>432</v>
      </c>
    </row>
    <row r="46" ht="42" customHeight="1" spans="1:14" x14ac:dyDescent="0.25">
      <c r="A46" s="9" t="s">
        <v>433</v>
      </c>
      <c r="B46" s="9" t="s">
        <v>200</v>
      </c>
      <c r="C46" s="9">
        <v>3</v>
      </c>
      <c r="D46" s="9" t="s">
        <v>425</v>
      </c>
      <c r="E46" s="9" t="s">
        <v>434</v>
      </c>
      <c r="F46" s="9" t="s">
        <v>427</v>
      </c>
      <c r="G46" s="9" t="s">
        <v>263</v>
      </c>
      <c r="H46" s="9" t="s">
        <v>428</v>
      </c>
      <c r="I46" s="9" t="s">
        <v>203</v>
      </c>
      <c r="J46" s="11" t="s">
        <v>44</v>
      </c>
      <c r="K46" s="1" t="s">
        <v>283</v>
      </c>
      <c r="L46" s="1" t="s">
        <v>284</v>
      </c>
      <c r="N46" s="1" t="s">
        <v>435</v>
      </c>
    </row>
    <row r="47" ht="42" customHeight="1" spans="1:14" x14ac:dyDescent="0.25">
      <c r="A47" s="9" t="s">
        <v>436</v>
      </c>
      <c r="B47" s="9" t="s">
        <v>200</v>
      </c>
      <c r="C47" s="9">
        <v>4</v>
      </c>
      <c r="D47" s="9" t="s">
        <v>425</v>
      </c>
      <c r="E47" s="9" t="s">
        <v>437</v>
      </c>
      <c r="F47" s="9" t="s">
        <v>427</v>
      </c>
      <c r="G47" s="9" t="s">
        <v>263</v>
      </c>
      <c r="H47" s="9" t="s">
        <v>428</v>
      </c>
      <c r="I47" s="9" t="s">
        <v>203</v>
      </c>
      <c r="J47" s="11" t="s">
        <v>44</v>
      </c>
      <c r="K47" s="1" t="s">
        <v>283</v>
      </c>
      <c r="L47" s="1" t="s">
        <v>284</v>
      </c>
      <c r="N47" s="1" t="s">
        <v>438</v>
      </c>
    </row>
    <row r="48" ht="42" customHeight="1" spans="1:14" x14ac:dyDescent="0.25">
      <c r="A48" s="9" t="s">
        <v>439</v>
      </c>
      <c r="B48" s="9" t="s">
        <v>200</v>
      </c>
      <c r="C48" s="9">
        <v>5</v>
      </c>
      <c r="D48" s="9" t="s">
        <v>425</v>
      </c>
      <c r="E48" s="9" t="s">
        <v>440</v>
      </c>
      <c r="F48" s="9" t="s">
        <v>427</v>
      </c>
      <c r="G48" s="9" t="s">
        <v>263</v>
      </c>
      <c r="H48" s="9" t="s">
        <v>428</v>
      </c>
      <c r="I48" s="9" t="s">
        <v>203</v>
      </c>
      <c r="J48" s="11" t="s">
        <v>44</v>
      </c>
      <c r="K48" s="1" t="s">
        <v>283</v>
      </c>
      <c r="L48" s="1" t="s">
        <v>284</v>
      </c>
      <c r="N48" s="1" t="s">
        <v>441</v>
      </c>
    </row>
    <row r="49" ht="42" customHeight="1" spans="1:14" x14ac:dyDescent="0.25">
      <c r="A49" s="9" t="s">
        <v>442</v>
      </c>
      <c r="B49" s="9" t="s">
        <v>200</v>
      </c>
      <c r="C49" s="9">
        <v>6</v>
      </c>
      <c r="D49" s="9" t="s">
        <v>425</v>
      </c>
      <c r="E49" s="9" t="s">
        <v>443</v>
      </c>
      <c r="F49" s="9" t="s">
        <v>427</v>
      </c>
      <c r="G49" s="9" t="s">
        <v>263</v>
      </c>
      <c r="H49" s="9" t="s">
        <v>428</v>
      </c>
      <c r="I49" s="9" t="s">
        <v>203</v>
      </c>
      <c r="J49" s="11" t="s">
        <v>45</v>
      </c>
      <c r="K49" s="1" t="s">
        <v>283</v>
      </c>
      <c r="L49" s="1" t="s">
        <v>284</v>
      </c>
      <c r="N49" s="1" t="s">
        <v>444</v>
      </c>
    </row>
    <row r="50" ht="42" customHeight="1" spans="1:14" x14ac:dyDescent="0.25">
      <c r="A50" s="9" t="s">
        <v>445</v>
      </c>
      <c r="B50" s="9" t="s">
        <v>200</v>
      </c>
      <c r="C50" s="9">
        <v>7</v>
      </c>
      <c r="D50" s="9" t="s">
        <v>425</v>
      </c>
      <c r="E50" s="9" t="s">
        <v>446</v>
      </c>
      <c r="F50" s="9" t="s">
        <v>427</v>
      </c>
      <c r="G50" s="9" t="s">
        <v>263</v>
      </c>
      <c r="H50" s="9" t="s">
        <v>428</v>
      </c>
      <c r="I50" s="9" t="s">
        <v>203</v>
      </c>
      <c r="J50" s="11" t="s">
        <v>44</v>
      </c>
      <c r="K50" s="1" t="s">
        <v>283</v>
      </c>
      <c r="L50" s="1" t="s">
        <v>284</v>
      </c>
      <c r="N50" s="1" t="s">
        <v>447</v>
      </c>
    </row>
    <row r="51" ht="42" customHeight="1" spans="1:14" x14ac:dyDescent="0.25">
      <c r="A51" s="9" t="s">
        <v>448</v>
      </c>
      <c r="B51" s="9" t="s">
        <v>200</v>
      </c>
      <c r="C51" s="9">
        <v>8</v>
      </c>
      <c r="D51" s="9" t="s">
        <v>425</v>
      </c>
      <c r="E51" s="9" t="s">
        <v>449</v>
      </c>
      <c r="F51" s="9" t="s">
        <v>427</v>
      </c>
      <c r="G51" s="9" t="s">
        <v>263</v>
      </c>
      <c r="H51" s="9" t="s">
        <v>428</v>
      </c>
      <c r="I51" s="9" t="s">
        <v>203</v>
      </c>
      <c r="J51" s="11" t="s">
        <v>44</v>
      </c>
      <c r="K51" s="1" t="s">
        <v>283</v>
      </c>
      <c r="L51" s="1" t="s">
        <v>284</v>
      </c>
      <c r="N51" s="1" t="s">
        <v>450</v>
      </c>
    </row>
    <row r="52" ht="42" customHeight="1" spans="1:14" x14ac:dyDescent="0.25">
      <c r="A52" s="9" t="s">
        <v>451</v>
      </c>
      <c r="B52" s="9" t="s">
        <v>200</v>
      </c>
      <c r="C52" s="9">
        <v>9</v>
      </c>
      <c r="D52" s="9" t="s">
        <v>425</v>
      </c>
      <c r="E52" s="9" t="s">
        <v>452</v>
      </c>
      <c r="F52" s="9" t="s">
        <v>427</v>
      </c>
      <c r="G52" s="9" t="s">
        <v>263</v>
      </c>
      <c r="H52" s="9" t="s">
        <v>428</v>
      </c>
      <c r="I52" s="9" t="s">
        <v>203</v>
      </c>
      <c r="J52" s="11" t="s">
        <v>44</v>
      </c>
      <c r="K52" s="1" t="s">
        <v>283</v>
      </c>
      <c r="L52" s="1" t="s">
        <v>284</v>
      </c>
      <c r="N52" s="1" t="s">
        <v>453</v>
      </c>
    </row>
    <row r="53" ht="42" customHeight="1" spans="1:14" x14ac:dyDescent="0.25">
      <c r="A53" s="9" t="s">
        <v>454</v>
      </c>
      <c r="B53" s="9" t="s">
        <v>200</v>
      </c>
      <c r="C53" s="9">
        <v>10</v>
      </c>
      <c r="D53" s="9" t="s">
        <v>425</v>
      </c>
      <c r="E53" s="9" t="s">
        <v>455</v>
      </c>
      <c r="F53" s="9" t="s">
        <v>427</v>
      </c>
      <c r="G53" s="9" t="s">
        <v>263</v>
      </c>
      <c r="H53" s="9" t="s">
        <v>428</v>
      </c>
      <c r="I53" s="9" t="s">
        <v>203</v>
      </c>
      <c r="J53" s="11" t="s">
        <v>44</v>
      </c>
      <c r="K53" s="1" t="s">
        <v>283</v>
      </c>
      <c r="L53" s="1" t="s">
        <v>284</v>
      </c>
      <c r="N53" s="1" t="s">
        <v>456</v>
      </c>
    </row>
    <row r="54" ht="42" customHeight="1" spans="1:14" x14ac:dyDescent="0.25">
      <c r="A54" s="9" t="s">
        <v>457</v>
      </c>
      <c r="B54" s="9" t="s">
        <v>200</v>
      </c>
      <c r="C54" s="9">
        <v>11</v>
      </c>
      <c r="D54" s="9" t="s">
        <v>425</v>
      </c>
      <c r="E54" s="9" t="s">
        <v>458</v>
      </c>
      <c r="F54" s="9" t="s">
        <v>427</v>
      </c>
      <c r="G54" s="9" t="s">
        <v>263</v>
      </c>
      <c r="H54" s="9" t="s">
        <v>428</v>
      </c>
      <c r="I54" s="9" t="s">
        <v>203</v>
      </c>
      <c r="J54" s="11" t="s">
        <v>248</v>
      </c>
      <c r="K54" s="1" t="s">
        <v>249</v>
      </c>
      <c r="L54" s="1" t="s">
        <v>250</v>
      </c>
      <c r="N54" s="1" t="s">
        <v>459</v>
      </c>
    </row>
    <row r="55" ht="42" customHeight="1" spans="1:14" x14ac:dyDescent="0.25">
      <c r="A55" s="9" t="s">
        <v>460</v>
      </c>
      <c r="B55" s="9" t="s">
        <v>200</v>
      </c>
      <c r="C55" s="9">
        <v>12</v>
      </c>
      <c r="D55" s="9" t="s">
        <v>425</v>
      </c>
      <c r="E55" s="9" t="s">
        <v>461</v>
      </c>
      <c r="F55" s="9" t="s">
        <v>427</v>
      </c>
      <c r="G55" s="9" t="s">
        <v>263</v>
      </c>
      <c r="H55" s="9" t="s">
        <v>428</v>
      </c>
      <c r="I55" s="9" t="s">
        <v>203</v>
      </c>
      <c r="J55" s="11" t="s">
        <v>248</v>
      </c>
      <c r="K55" s="1" t="s">
        <v>249</v>
      </c>
      <c r="L55" s="1" t="s">
        <v>250</v>
      </c>
      <c r="N55" s="1" t="s">
        <v>462</v>
      </c>
    </row>
    <row r="56" ht="42" customHeight="1" spans="1:14" x14ac:dyDescent="0.25">
      <c r="A56" s="9" t="s">
        <v>463</v>
      </c>
      <c r="B56" s="9" t="s">
        <v>200</v>
      </c>
      <c r="C56" s="9">
        <v>13</v>
      </c>
      <c r="D56" s="9" t="s">
        <v>425</v>
      </c>
      <c r="E56" s="9" t="s">
        <v>464</v>
      </c>
      <c r="F56" s="9" t="s">
        <v>427</v>
      </c>
      <c r="G56" s="9" t="s">
        <v>263</v>
      </c>
      <c r="H56" s="9" t="s">
        <v>428</v>
      </c>
      <c r="I56" s="9" t="s">
        <v>203</v>
      </c>
      <c r="J56" s="11" t="s">
        <v>248</v>
      </c>
      <c r="K56" s="1" t="s">
        <v>249</v>
      </c>
      <c r="L56" s="1" t="s">
        <v>250</v>
      </c>
      <c r="N56" s="1" t="s">
        <v>465</v>
      </c>
    </row>
    <row r="57" ht="42" customHeight="1" spans="1:14" x14ac:dyDescent="0.25">
      <c r="A57" s="9" t="s">
        <v>466</v>
      </c>
      <c r="B57" s="9" t="s">
        <v>200</v>
      </c>
      <c r="C57" s="9">
        <v>14</v>
      </c>
      <c r="D57" s="9" t="s">
        <v>425</v>
      </c>
      <c r="E57" s="9" t="s">
        <v>467</v>
      </c>
      <c r="F57" s="9" t="s">
        <v>427</v>
      </c>
      <c r="G57" s="9" t="s">
        <v>263</v>
      </c>
      <c r="H57" s="9" t="s">
        <v>428</v>
      </c>
      <c r="I57" s="9" t="s">
        <v>203</v>
      </c>
      <c r="J57" s="11" t="s">
        <v>248</v>
      </c>
      <c r="K57" s="1" t="s">
        <v>249</v>
      </c>
      <c r="L57" s="1" t="s">
        <v>250</v>
      </c>
      <c r="N57" s="1" t="s">
        <v>468</v>
      </c>
    </row>
    <row r="58" ht="42" customHeight="1" spans="1:14" x14ac:dyDescent="0.25">
      <c r="A58" s="9" t="s">
        <v>469</v>
      </c>
      <c r="B58" s="9" t="s">
        <v>200</v>
      </c>
      <c r="C58" s="9">
        <v>15</v>
      </c>
      <c r="D58" s="9" t="s">
        <v>425</v>
      </c>
      <c r="E58" s="9" t="s">
        <v>470</v>
      </c>
      <c r="F58" s="9" t="s">
        <v>427</v>
      </c>
      <c r="G58" s="9" t="s">
        <v>263</v>
      </c>
      <c r="H58" s="9" t="s">
        <v>428</v>
      </c>
      <c r="I58" s="9" t="s">
        <v>203</v>
      </c>
      <c r="J58" s="11" t="s">
        <v>248</v>
      </c>
      <c r="K58" s="1" t="s">
        <v>249</v>
      </c>
      <c r="L58" s="1" t="s">
        <v>250</v>
      </c>
      <c r="N58" s="1" t="s">
        <v>471</v>
      </c>
    </row>
    <row r="59" ht="42" customHeight="1" spans="1:14" x14ac:dyDescent="0.25">
      <c r="A59" s="9" t="s">
        <v>472</v>
      </c>
      <c r="B59" s="9" t="s">
        <v>200</v>
      </c>
      <c r="C59" s="9">
        <v>16</v>
      </c>
      <c r="D59" s="9" t="s">
        <v>425</v>
      </c>
      <c r="E59" s="9" t="s">
        <v>473</v>
      </c>
      <c r="F59" s="9" t="s">
        <v>427</v>
      </c>
      <c r="G59" s="9" t="s">
        <v>263</v>
      </c>
      <c r="H59" s="9" t="s">
        <v>428</v>
      </c>
      <c r="I59" s="9" t="s">
        <v>203</v>
      </c>
      <c r="J59" s="11" t="s">
        <v>248</v>
      </c>
      <c r="K59" s="1" t="s">
        <v>249</v>
      </c>
      <c r="L59" s="1" t="s">
        <v>250</v>
      </c>
      <c r="N59" s="1" t="s">
        <v>474</v>
      </c>
    </row>
    <row r="60" ht="42" customHeight="1" spans="1:14" x14ac:dyDescent="0.25">
      <c r="A60" s="9" t="s">
        <v>475</v>
      </c>
      <c r="B60" s="9" t="s">
        <v>200</v>
      </c>
      <c r="C60" s="9">
        <v>17</v>
      </c>
      <c r="D60" s="9" t="s">
        <v>425</v>
      </c>
      <c r="E60" s="9" t="s">
        <v>476</v>
      </c>
      <c r="F60" s="9" t="s">
        <v>427</v>
      </c>
      <c r="G60" s="9" t="s">
        <v>263</v>
      </c>
      <c r="H60" s="9" t="s">
        <v>428</v>
      </c>
      <c r="I60" s="9" t="s">
        <v>203</v>
      </c>
      <c r="J60" s="11" t="s">
        <v>248</v>
      </c>
      <c r="K60" s="1" t="s">
        <v>249</v>
      </c>
      <c r="L60" s="1" t="s">
        <v>250</v>
      </c>
      <c r="N60" s="1" t="s">
        <v>477</v>
      </c>
    </row>
    <row r="61" ht="42" customHeight="1" spans="1:14" x14ac:dyDescent="0.25">
      <c r="A61" s="9" t="s">
        <v>478</v>
      </c>
      <c r="B61" s="9" t="s">
        <v>205</v>
      </c>
      <c r="C61" s="9">
        <v>1</v>
      </c>
      <c r="D61" s="9" t="s">
        <v>479</v>
      </c>
      <c r="E61" s="9" t="s">
        <v>324</v>
      </c>
      <c r="F61" s="9" t="s">
        <v>480</v>
      </c>
      <c r="G61" s="9" t="s">
        <v>263</v>
      </c>
      <c r="H61" s="9" t="s">
        <v>269</v>
      </c>
      <c r="I61" s="9" t="s">
        <v>481</v>
      </c>
      <c r="J61" s="11" t="s">
        <v>44</v>
      </c>
      <c r="K61" s="1" t="s">
        <v>283</v>
      </c>
      <c r="L61" s="1" t="s">
        <v>284</v>
      </c>
      <c r="N61" s="1" t="s">
        <v>482</v>
      </c>
    </row>
    <row r="62" ht="42" customHeight="1" spans="1:14" x14ac:dyDescent="0.25">
      <c r="A62" s="9" t="s">
        <v>483</v>
      </c>
      <c r="B62" s="9" t="s">
        <v>205</v>
      </c>
      <c r="C62" s="9">
        <v>2</v>
      </c>
      <c r="D62" s="9" t="s">
        <v>333</v>
      </c>
      <c r="E62" s="9" t="s">
        <v>355</v>
      </c>
      <c r="F62" s="9" t="s">
        <v>484</v>
      </c>
      <c r="G62" s="9" t="s">
        <v>56</v>
      </c>
      <c r="H62" s="9" t="s">
        <v>247</v>
      </c>
      <c r="I62" s="9" t="s">
        <v>485</v>
      </c>
      <c r="J62" s="11" t="s">
        <v>248</v>
      </c>
      <c r="K62" s="1" t="s">
        <v>257</v>
      </c>
      <c r="L62" s="1" t="s">
        <v>250</v>
      </c>
      <c r="N62" s="1" t="s">
        <v>486</v>
      </c>
    </row>
    <row r="63" ht="42" customHeight="1" spans="1:14" x14ac:dyDescent="0.25">
      <c r="A63" s="9" t="s">
        <v>487</v>
      </c>
      <c r="B63" s="9" t="s">
        <v>205</v>
      </c>
      <c r="C63" s="9">
        <v>3</v>
      </c>
      <c r="D63" s="9" t="s">
        <v>488</v>
      </c>
      <c r="E63" s="9" t="s">
        <v>489</v>
      </c>
      <c r="F63" s="9" t="s">
        <v>490</v>
      </c>
      <c r="G63" s="9" t="s">
        <v>263</v>
      </c>
      <c r="H63" s="9" t="s">
        <v>269</v>
      </c>
      <c r="I63" s="9" t="s">
        <v>481</v>
      </c>
      <c r="J63" s="11" t="s">
        <v>248</v>
      </c>
      <c r="K63" s="1" t="s">
        <v>257</v>
      </c>
      <c r="L63" s="1" t="s">
        <v>250</v>
      </c>
      <c r="N63" s="1" t="s">
        <v>486</v>
      </c>
    </row>
    <row r="64" ht="42" customHeight="1" spans="1:14" x14ac:dyDescent="0.25">
      <c r="A64" s="9" t="s">
        <v>491</v>
      </c>
      <c r="B64" s="9" t="s">
        <v>210</v>
      </c>
      <c r="C64" s="9">
        <v>1</v>
      </c>
      <c r="D64" s="9" t="s">
        <v>253</v>
      </c>
      <c r="E64" s="9" t="s">
        <v>492</v>
      </c>
      <c r="F64" s="9" t="s">
        <v>493</v>
      </c>
      <c r="G64" s="9" t="s">
        <v>256</v>
      </c>
      <c r="H64" s="9" t="s">
        <v>269</v>
      </c>
      <c r="I64" s="9" t="s">
        <v>311</v>
      </c>
      <c r="J64" s="11" t="s">
        <v>45</v>
      </c>
      <c r="K64" s="1" t="s">
        <v>257</v>
      </c>
      <c r="L64" s="1" t="s">
        <v>250</v>
      </c>
      <c r="N64" s="1" t="s">
        <v>494</v>
      </c>
    </row>
    <row r="65" ht="42" customHeight="1" spans="1:14" x14ac:dyDescent="0.25">
      <c r="A65" s="9" t="s">
        <v>495</v>
      </c>
      <c r="B65" s="9" t="s">
        <v>210</v>
      </c>
      <c r="C65" s="9">
        <v>2</v>
      </c>
      <c r="D65" s="9" t="s">
        <v>496</v>
      </c>
      <c r="E65" s="9" t="s">
        <v>324</v>
      </c>
      <c r="F65" s="9" t="s">
        <v>497</v>
      </c>
      <c r="G65" s="9" t="s">
        <v>263</v>
      </c>
      <c r="H65" s="9" t="s">
        <v>247</v>
      </c>
      <c r="I65" s="9" t="s">
        <v>498</v>
      </c>
      <c r="J65" s="11" t="s">
        <v>248</v>
      </c>
      <c r="K65" s="1" t="s">
        <v>257</v>
      </c>
      <c r="L65" s="1" t="s">
        <v>250</v>
      </c>
      <c r="N65" s="1" t="s">
        <v>499</v>
      </c>
    </row>
    <row r="66" ht="42" customHeight="1" spans="1:14" x14ac:dyDescent="0.25">
      <c r="A66" s="9" t="s">
        <v>500</v>
      </c>
      <c r="B66" s="9" t="s">
        <v>210</v>
      </c>
      <c r="C66" s="9">
        <v>3</v>
      </c>
      <c r="D66" s="9" t="s">
        <v>501</v>
      </c>
      <c r="E66" s="9" t="s">
        <v>502</v>
      </c>
      <c r="F66" s="9" t="s">
        <v>503</v>
      </c>
      <c r="G66" s="9" t="s">
        <v>263</v>
      </c>
      <c r="H66" s="9" t="s">
        <v>247</v>
      </c>
      <c r="I66" s="9" t="s">
        <v>504</v>
      </c>
      <c r="J66" s="11" t="s">
        <v>248</v>
      </c>
      <c r="K66" s="1" t="s">
        <v>257</v>
      </c>
      <c r="L66" s="1" t="s">
        <v>250</v>
      </c>
      <c r="N66" s="1" t="s">
        <v>499</v>
      </c>
    </row>
    <row r="67" ht="42" customHeight="1" spans="1:14" x14ac:dyDescent="0.25">
      <c r="A67" s="9" t="s">
        <v>505</v>
      </c>
      <c r="B67" s="9" t="s">
        <v>215</v>
      </c>
      <c r="C67" s="9">
        <v>1</v>
      </c>
      <c r="D67" s="9" t="s">
        <v>506</v>
      </c>
      <c r="E67" s="9" t="s">
        <v>507</v>
      </c>
      <c r="F67" s="9" t="s">
        <v>508</v>
      </c>
      <c r="G67" s="9" t="s">
        <v>246</v>
      </c>
      <c r="H67" s="9" t="s">
        <v>247</v>
      </c>
      <c r="I67" s="9" t="s">
        <v>509</v>
      </c>
      <c r="J67" s="11" t="s">
        <v>248</v>
      </c>
      <c r="K67" s="1" t="s">
        <v>249</v>
      </c>
      <c r="L67" s="1" t="s">
        <v>250</v>
      </c>
      <c r="N67" s="1" t="s">
        <v>510</v>
      </c>
    </row>
    <row r="68" ht="42" customHeight="1" spans="1:14" x14ac:dyDescent="0.25">
      <c r="A68" s="9" t="s">
        <v>511</v>
      </c>
      <c r="B68" s="9" t="s">
        <v>215</v>
      </c>
      <c r="C68" s="9">
        <v>2</v>
      </c>
      <c r="D68" s="9" t="s">
        <v>512</v>
      </c>
      <c r="E68" s="9" t="s">
        <v>513</v>
      </c>
      <c r="F68" s="9" t="s">
        <v>514</v>
      </c>
      <c r="G68" s="9" t="s">
        <v>246</v>
      </c>
      <c r="H68" s="9" t="s">
        <v>247</v>
      </c>
      <c r="I68" s="9" t="s">
        <v>73</v>
      </c>
      <c r="J68" s="11" t="s">
        <v>248</v>
      </c>
      <c r="K68" s="1" t="s">
        <v>249</v>
      </c>
      <c r="L68" s="1" t="s">
        <v>250</v>
      </c>
      <c r="N68" s="1" t="s">
        <v>510</v>
      </c>
    </row>
    <row r="69" ht="42" customHeight="1" spans="1:14" x14ac:dyDescent="0.25">
      <c r="A69" s="9" t="s">
        <v>515</v>
      </c>
      <c r="B69" s="9" t="s">
        <v>215</v>
      </c>
      <c r="C69" s="9">
        <v>3</v>
      </c>
      <c r="D69" s="9" t="s">
        <v>516</v>
      </c>
      <c r="E69" s="9" t="s">
        <v>517</v>
      </c>
      <c r="F69" s="9" t="s">
        <v>518</v>
      </c>
      <c r="G69" s="9" t="s">
        <v>246</v>
      </c>
      <c r="H69" s="9" t="s">
        <v>247</v>
      </c>
      <c r="I69" s="9" t="s">
        <v>73</v>
      </c>
      <c r="J69" s="11" t="s">
        <v>248</v>
      </c>
      <c r="K69" s="1" t="s">
        <v>249</v>
      </c>
      <c r="L69" s="1" t="s">
        <v>250</v>
      </c>
      <c r="N69" s="1" t="s">
        <v>510</v>
      </c>
    </row>
    <row r="70" ht="42" customHeight="1" spans="1:14" x14ac:dyDescent="0.25">
      <c r="A70" s="9" t="s">
        <v>519</v>
      </c>
      <c r="B70" s="9" t="s">
        <v>215</v>
      </c>
      <c r="C70" s="9">
        <v>4</v>
      </c>
      <c r="D70" s="9" t="s">
        <v>520</v>
      </c>
      <c r="E70" s="9" t="s">
        <v>521</v>
      </c>
      <c r="F70" s="9" t="s">
        <v>522</v>
      </c>
      <c r="G70" s="9" t="s">
        <v>246</v>
      </c>
      <c r="H70" s="9" t="s">
        <v>269</v>
      </c>
      <c r="I70" s="9" t="s">
        <v>523</v>
      </c>
      <c r="J70" s="11" t="s">
        <v>248</v>
      </c>
      <c r="K70" s="1" t="s">
        <v>249</v>
      </c>
      <c r="L70" s="1" t="s">
        <v>250</v>
      </c>
      <c r="N70" s="1" t="s">
        <v>510</v>
      </c>
    </row>
    <row r="71" ht="42" customHeight="1" spans="1:14" x14ac:dyDescent="0.25">
      <c r="A71" s="9" t="s">
        <v>524</v>
      </c>
      <c r="B71" s="9" t="s">
        <v>215</v>
      </c>
      <c r="C71" s="9">
        <v>5</v>
      </c>
      <c r="D71" s="9" t="s">
        <v>525</v>
      </c>
      <c r="E71" s="9" t="s">
        <v>526</v>
      </c>
      <c r="F71" s="9" t="s">
        <v>527</v>
      </c>
      <c r="G71" s="9" t="s">
        <v>256</v>
      </c>
      <c r="H71" s="9" t="s">
        <v>247</v>
      </c>
      <c r="I71" s="9" t="s">
        <v>523</v>
      </c>
      <c r="J71" s="11" t="s">
        <v>248</v>
      </c>
      <c r="K71" s="1" t="s">
        <v>249</v>
      </c>
      <c r="L71" s="1" t="s">
        <v>250</v>
      </c>
      <c r="N71" s="1" t="s">
        <v>510</v>
      </c>
    </row>
    <row r="72" ht="42" customHeight="1" spans="1:14" x14ac:dyDescent="0.25">
      <c r="A72" s="9" t="s">
        <v>528</v>
      </c>
      <c r="B72" s="9" t="s">
        <v>220</v>
      </c>
      <c r="C72" s="9">
        <v>1</v>
      </c>
      <c r="D72" s="9" t="s">
        <v>529</v>
      </c>
      <c r="E72" s="9" t="s">
        <v>530</v>
      </c>
      <c r="F72" s="9" t="s">
        <v>531</v>
      </c>
      <c r="G72" s="9" t="s">
        <v>56</v>
      </c>
      <c r="H72" s="9" t="s">
        <v>247</v>
      </c>
      <c r="I72" s="9" t="s">
        <v>93</v>
      </c>
      <c r="J72" s="11" t="s">
        <v>44</v>
      </c>
      <c r="K72" s="1" t="s">
        <v>257</v>
      </c>
      <c r="L72" s="1" t="s">
        <v>250</v>
      </c>
      <c r="N72" s="1" t="s">
        <v>532</v>
      </c>
    </row>
    <row r="73" ht="42" customHeight="1" spans="1:14" x14ac:dyDescent="0.25">
      <c r="A73" s="9" t="s">
        <v>533</v>
      </c>
      <c r="B73" s="9" t="s">
        <v>220</v>
      </c>
      <c r="C73" s="9">
        <v>2</v>
      </c>
      <c r="D73" s="9" t="s">
        <v>529</v>
      </c>
      <c r="E73" s="9" t="s">
        <v>534</v>
      </c>
      <c r="F73" s="9" t="s">
        <v>535</v>
      </c>
      <c r="G73" s="9" t="s">
        <v>56</v>
      </c>
      <c r="H73" s="9" t="s">
        <v>247</v>
      </c>
      <c r="I73" s="9" t="s">
        <v>169</v>
      </c>
      <c r="J73" s="11" t="s">
        <v>44</v>
      </c>
      <c r="K73" s="1" t="s">
        <v>257</v>
      </c>
      <c r="L73" s="1" t="s">
        <v>250</v>
      </c>
      <c r="N73" s="1" t="s">
        <v>536</v>
      </c>
    </row>
    <row r="74" ht="42" customHeight="1" spans="1:14" x14ac:dyDescent="0.25">
      <c r="A74" s="9" t="s">
        <v>537</v>
      </c>
      <c r="B74" s="9" t="s">
        <v>220</v>
      </c>
      <c r="C74" s="9">
        <v>3</v>
      </c>
      <c r="D74" s="9" t="s">
        <v>529</v>
      </c>
      <c r="E74" s="9" t="s">
        <v>538</v>
      </c>
      <c r="F74" s="9" t="s">
        <v>535</v>
      </c>
      <c r="G74" s="9" t="s">
        <v>56</v>
      </c>
      <c r="H74" s="9" t="s">
        <v>247</v>
      </c>
      <c r="I74" s="9" t="s">
        <v>169</v>
      </c>
      <c r="J74" s="11" t="s">
        <v>44</v>
      </c>
      <c r="K74" s="1" t="s">
        <v>257</v>
      </c>
      <c r="L74" s="1" t="s">
        <v>250</v>
      </c>
      <c r="N74" s="1" t="s">
        <v>539</v>
      </c>
    </row>
    <row r="75" ht="42" customHeight="1" spans="1:14" x14ac:dyDescent="0.25">
      <c r="A75" s="9" t="s">
        <v>540</v>
      </c>
      <c r="B75" s="9" t="s">
        <v>220</v>
      </c>
      <c r="C75" s="9">
        <v>4</v>
      </c>
      <c r="D75" s="9" t="s">
        <v>541</v>
      </c>
      <c r="E75" s="9" t="s">
        <v>542</v>
      </c>
      <c r="F75" s="9" t="s">
        <v>543</v>
      </c>
      <c r="G75" s="9" t="s">
        <v>56</v>
      </c>
      <c r="H75" s="9" t="s">
        <v>247</v>
      </c>
      <c r="I75" s="9" t="s">
        <v>523</v>
      </c>
      <c r="J75" s="11" t="s">
        <v>248</v>
      </c>
      <c r="K75" s="1" t="s">
        <v>257</v>
      </c>
      <c r="L75" s="1" t="s">
        <v>250</v>
      </c>
      <c r="N75" s="1" t="s">
        <v>544</v>
      </c>
    </row>
    <row r="76" ht="42" customHeight="1" spans="1:14" x14ac:dyDescent="0.25">
      <c r="A76" s="9" t="s">
        <v>545</v>
      </c>
      <c r="B76" s="9" t="s">
        <v>220</v>
      </c>
      <c r="C76" s="9">
        <v>5</v>
      </c>
      <c r="D76" s="9" t="s">
        <v>546</v>
      </c>
      <c r="E76" s="9" t="s">
        <v>547</v>
      </c>
      <c r="F76" s="9" t="s">
        <v>548</v>
      </c>
      <c r="G76" s="9" t="s">
        <v>549</v>
      </c>
      <c r="H76" s="9" t="s">
        <v>247</v>
      </c>
      <c r="I76" s="9" t="s">
        <v>523</v>
      </c>
      <c r="J76" s="11" t="s">
        <v>248</v>
      </c>
      <c r="K76" s="1" t="s">
        <v>257</v>
      </c>
      <c r="L76" s="1" t="s">
        <v>250</v>
      </c>
      <c r="N76" s="1" t="s">
        <v>550</v>
      </c>
    </row>
    <row r="77" ht="42" customHeight="1" spans="1:14" x14ac:dyDescent="0.25">
      <c r="A77" s="9" t="s">
        <v>551</v>
      </c>
      <c r="B77" s="9" t="s">
        <v>224</v>
      </c>
      <c r="C77" s="9">
        <v>1</v>
      </c>
      <c r="D77" s="9" t="s">
        <v>552</v>
      </c>
      <c r="E77" s="9" t="s">
        <v>553</v>
      </c>
      <c r="F77" s="9" t="s">
        <v>554</v>
      </c>
      <c r="G77" s="9" t="s">
        <v>320</v>
      </c>
      <c r="H77" s="9" t="s">
        <v>269</v>
      </c>
      <c r="I77" s="9" t="s">
        <v>523</v>
      </c>
      <c r="J77" s="11" t="s">
        <v>44</v>
      </c>
      <c r="K77" s="1" t="s">
        <v>249</v>
      </c>
      <c r="L77" s="1" t="s">
        <v>250</v>
      </c>
      <c r="N77" s="1" t="s">
        <v>555</v>
      </c>
    </row>
    <row r="78" ht="42" customHeight="1" spans="1:14" x14ac:dyDescent="0.25">
      <c r="A78" s="9" t="s">
        <v>556</v>
      </c>
      <c r="B78" s="9" t="s">
        <v>224</v>
      </c>
      <c r="C78" s="9">
        <v>2</v>
      </c>
      <c r="D78" s="9" t="s">
        <v>557</v>
      </c>
      <c r="E78" s="9" t="s">
        <v>558</v>
      </c>
      <c r="F78" s="9" t="s">
        <v>559</v>
      </c>
      <c r="G78" s="9" t="s">
        <v>246</v>
      </c>
      <c r="H78" s="9" t="s">
        <v>269</v>
      </c>
      <c r="I78" s="9" t="s">
        <v>523</v>
      </c>
      <c r="J78" s="11" t="s">
        <v>248</v>
      </c>
      <c r="K78" s="1" t="s">
        <v>249</v>
      </c>
      <c r="L78" s="1" t="s">
        <v>250</v>
      </c>
      <c r="N78" s="1" t="s">
        <v>510</v>
      </c>
    </row>
    <row r="79" ht="42" customHeight="1" spans="1:14" x14ac:dyDescent="0.25">
      <c r="A79" s="9" t="s">
        <v>560</v>
      </c>
      <c r="B79" s="9" t="s">
        <v>224</v>
      </c>
      <c r="C79" s="9">
        <v>3</v>
      </c>
      <c r="D79" s="9" t="s">
        <v>561</v>
      </c>
      <c r="E79" s="9" t="s">
        <v>562</v>
      </c>
      <c r="F79" s="9" t="s">
        <v>563</v>
      </c>
      <c r="G79" s="9" t="s">
        <v>246</v>
      </c>
      <c r="H79" s="9" t="s">
        <v>269</v>
      </c>
      <c r="I79" s="9" t="s">
        <v>523</v>
      </c>
      <c r="J79" s="11" t="s">
        <v>248</v>
      </c>
      <c r="K79" s="1" t="s">
        <v>249</v>
      </c>
      <c r="L79" s="1" t="s">
        <v>250</v>
      </c>
      <c r="N79" s="1" t="s">
        <v>510</v>
      </c>
    </row>
    <row r="80" ht="42" customHeight="1" spans="1:14" x14ac:dyDescent="0.25">
      <c r="A80" s="9" t="s">
        <v>564</v>
      </c>
      <c r="B80" s="9" t="s">
        <v>565</v>
      </c>
      <c r="C80" s="9">
        <v>1</v>
      </c>
      <c r="D80" s="9" t="s">
        <v>566</v>
      </c>
      <c r="E80" s="9" t="s">
        <v>567</v>
      </c>
      <c r="F80" s="9" t="s">
        <v>568</v>
      </c>
      <c r="G80" s="9" t="s">
        <v>246</v>
      </c>
      <c r="H80" s="9" t="s">
        <v>269</v>
      </c>
      <c r="I80" s="9" t="s">
        <v>523</v>
      </c>
      <c r="J80" s="11" t="s">
        <v>248</v>
      </c>
      <c r="K80" s="1" t="s">
        <v>249</v>
      </c>
      <c r="L80" s="1" t="s">
        <v>250</v>
      </c>
      <c r="N80" s="1" t="s">
        <v>251</v>
      </c>
    </row>
    <row r="81" ht="42" customHeight="1" spans="1:14" x14ac:dyDescent="0.25">
      <c r="A81" s="9" t="s">
        <v>569</v>
      </c>
      <c r="B81" s="9" t="s">
        <v>565</v>
      </c>
      <c r="C81" s="9">
        <v>2</v>
      </c>
      <c r="D81" s="9" t="s">
        <v>570</v>
      </c>
      <c r="E81" s="9" t="s">
        <v>571</v>
      </c>
      <c r="F81" s="9" t="s">
        <v>572</v>
      </c>
      <c r="G81" s="9" t="s">
        <v>320</v>
      </c>
      <c r="H81" s="9" t="s">
        <v>247</v>
      </c>
      <c r="I81" s="9" t="s">
        <v>112</v>
      </c>
      <c r="J81" s="11" t="s">
        <v>248</v>
      </c>
      <c r="K81" s="1" t="s">
        <v>249</v>
      </c>
      <c r="L81" s="1" t="s">
        <v>250</v>
      </c>
      <c r="N81" s="1" t="s">
        <v>251</v>
      </c>
    </row>
    <row r="82" ht="42" customHeight="1" spans="1:14" x14ac:dyDescent="0.25">
      <c r="A82" s="9" t="s">
        <v>573</v>
      </c>
      <c r="B82" s="9" t="s">
        <v>565</v>
      </c>
      <c r="C82" s="9">
        <v>3</v>
      </c>
      <c r="D82" s="9" t="s">
        <v>574</v>
      </c>
      <c r="E82" s="9" t="s">
        <v>575</v>
      </c>
      <c r="F82" s="9" t="s">
        <v>576</v>
      </c>
      <c r="G82" s="9" t="s">
        <v>246</v>
      </c>
      <c r="H82" s="9" t="s">
        <v>269</v>
      </c>
      <c r="I82" s="9" t="s">
        <v>115</v>
      </c>
      <c r="J82" s="11" t="s">
        <v>248</v>
      </c>
      <c r="K82" s="1" t="s">
        <v>249</v>
      </c>
      <c r="L82" s="1" t="s">
        <v>250</v>
      </c>
      <c r="N82" s="1" t="s">
        <v>251</v>
      </c>
    </row>
    <row r="83" ht="42" customHeight="1" spans="1:14" x14ac:dyDescent="0.25">
      <c r="A83" s="9" t="s">
        <v>577</v>
      </c>
      <c r="B83" s="9" t="s">
        <v>565</v>
      </c>
      <c r="C83" s="9">
        <v>4</v>
      </c>
      <c r="D83" s="9" t="s">
        <v>578</v>
      </c>
      <c r="E83" s="9" t="s">
        <v>579</v>
      </c>
      <c r="F83" s="9" t="s">
        <v>580</v>
      </c>
      <c r="G83" s="9" t="s">
        <v>256</v>
      </c>
      <c r="H83" s="9" t="s">
        <v>247</v>
      </c>
      <c r="I83" s="9" t="s">
        <v>523</v>
      </c>
      <c r="J83" s="11" t="s">
        <v>248</v>
      </c>
      <c r="K83" s="1" t="s">
        <v>249</v>
      </c>
      <c r="L83" s="1" t="s">
        <v>250</v>
      </c>
      <c r="N83" s="1" t="s">
        <v>251</v>
      </c>
    </row>
    <row r="84" ht="42" customHeight="1" spans="1:14" x14ac:dyDescent="0.25">
      <c r="A84" s="9" t="s">
        <v>581</v>
      </c>
      <c r="B84" s="9" t="s">
        <v>565</v>
      </c>
      <c r="C84" s="9">
        <v>5</v>
      </c>
      <c r="D84" s="9" t="s">
        <v>582</v>
      </c>
      <c r="E84" s="9" t="s">
        <v>293</v>
      </c>
      <c r="F84" s="9" t="s">
        <v>583</v>
      </c>
      <c r="G84" s="9" t="s">
        <v>263</v>
      </c>
      <c r="H84" s="9" t="s">
        <v>269</v>
      </c>
      <c r="I84" s="9" t="s">
        <v>109</v>
      </c>
      <c r="J84" s="11" t="s">
        <v>248</v>
      </c>
      <c r="K84" s="1" t="s">
        <v>249</v>
      </c>
      <c r="L84" s="1" t="s">
        <v>250</v>
      </c>
      <c r="N84" s="1" t="s">
        <v>251</v>
      </c>
    </row>
    <row r="85" ht="42" customHeight="1" spans="1:14" x14ac:dyDescent="0.25">
      <c r="A85" s="9" t="s">
        <v>584</v>
      </c>
      <c r="B85" s="9" t="s">
        <v>565</v>
      </c>
      <c r="C85" s="9">
        <v>6</v>
      </c>
      <c r="D85" s="9" t="s">
        <v>585</v>
      </c>
      <c r="E85" s="9" t="s">
        <v>586</v>
      </c>
      <c r="F85" s="9" t="s">
        <v>587</v>
      </c>
      <c r="G85" s="9" t="s">
        <v>263</v>
      </c>
      <c r="H85" s="9" t="s">
        <v>269</v>
      </c>
      <c r="I85" s="9" t="s">
        <v>93</v>
      </c>
      <c r="J85" s="11" t="s">
        <v>248</v>
      </c>
      <c r="K85" s="1" t="s">
        <v>249</v>
      </c>
      <c r="L85" s="1" t="s">
        <v>250</v>
      </c>
      <c r="N85" s="1" t="s">
        <v>251</v>
      </c>
    </row>
    <row r="86" ht="42" customHeight="1" spans="1:14" x14ac:dyDescent="0.25">
      <c r="A86" s="9" t="s">
        <v>588</v>
      </c>
      <c r="B86" s="9" t="s">
        <v>565</v>
      </c>
      <c r="C86" s="9">
        <v>7</v>
      </c>
      <c r="D86" s="9" t="s">
        <v>512</v>
      </c>
      <c r="E86" s="9" t="s">
        <v>589</v>
      </c>
      <c r="F86" s="9" t="s">
        <v>590</v>
      </c>
      <c r="G86" s="9" t="s">
        <v>246</v>
      </c>
      <c r="H86" s="9" t="s">
        <v>269</v>
      </c>
      <c r="I86" s="9" t="s">
        <v>523</v>
      </c>
      <c r="J86" s="11" t="s">
        <v>248</v>
      </c>
      <c r="K86" s="1" t="s">
        <v>249</v>
      </c>
      <c r="L86" s="1" t="s">
        <v>250</v>
      </c>
      <c r="N86" s="1" t="s">
        <v>251</v>
      </c>
    </row>
    <row r="87" ht="42" customHeight="1" spans="1:14" x14ac:dyDescent="0.25">
      <c r="A87" s="9" t="s">
        <v>591</v>
      </c>
      <c r="B87" s="9" t="s">
        <v>565</v>
      </c>
      <c r="C87" s="9">
        <v>8</v>
      </c>
      <c r="D87" s="9" t="s">
        <v>592</v>
      </c>
      <c r="E87" s="9" t="s">
        <v>593</v>
      </c>
      <c r="F87" s="9" t="s">
        <v>594</v>
      </c>
      <c r="G87" s="9" t="s">
        <v>263</v>
      </c>
      <c r="H87" s="9" t="s">
        <v>428</v>
      </c>
      <c r="I87" s="9" t="s">
        <v>523</v>
      </c>
      <c r="J87" s="11" t="s">
        <v>248</v>
      </c>
      <c r="K87" s="1" t="s">
        <v>249</v>
      </c>
      <c r="L87" s="1" t="s">
        <v>250</v>
      </c>
      <c r="N87" s="1" t="s">
        <v>251</v>
      </c>
    </row>
    <row r="88" ht="42" customHeight="1" spans="1:14" x14ac:dyDescent="0.25">
      <c r="A88" s="9" t="s">
        <v>595</v>
      </c>
      <c r="B88" s="9" t="s">
        <v>565</v>
      </c>
      <c r="C88" s="9">
        <v>9</v>
      </c>
      <c r="D88" s="9" t="s">
        <v>596</v>
      </c>
      <c r="E88" s="9" t="s">
        <v>597</v>
      </c>
      <c r="F88" s="9" t="s">
        <v>598</v>
      </c>
      <c r="G88" s="9" t="s">
        <v>263</v>
      </c>
      <c r="H88" s="9" t="s">
        <v>269</v>
      </c>
      <c r="I88" s="9" t="s">
        <v>137</v>
      </c>
      <c r="J88" s="11" t="s">
        <v>248</v>
      </c>
      <c r="K88" s="1" t="s">
        <v>249</v>
      </c>
      <c r="L88" s="1" t="s">
        <v>250</v>
      </c>
      <c r="N88" s="1" t="s">
        <v>251</v>
      </c>
    </row>
    <row r="89" ht="42" customHeight="1" spans="1:14" x14ac:dyDescent="0.25">
      <c r="A89" s="9" t="s">
        <v>599</v>
      </c>
      <c r="B89" s="9" t="s">
        <v>565</v>
      </c>
      <c r="C89" s="9">
        <v>10</v>
      </c>
      <c r="D89" s="9" t="s">
        <v>600</v>
      </c>
      <c r="E89" s="9" t="s">
        <v>601</v>
      </c>
      <c r="F89" s="9" t="s">
        <v>602</v>
      </c>
      <c r="G89" s="9" t="s">
        <v>263</v>
      </c>
      <c r="H89" s="9" t="s">
        <v>428</v>
      </c>
      <c r="I89" s="9" t="s">
        <v>93</v>
      </c>
      <c r="J89" s="11" t="s">
        <v>248</v>
      </c>
      <c r="K89" s="1" t="s">
        <v>249</v>
      </c>
      <c r="L89" s="1" t="s">
        <v>250</v>
      </c>
      <c r="N89" s="1" t="s">
        <v>251</v>
      </c>
    </row>
  </sheetData>
  <mergeCells count="1">
    <mergeCell ref="A1:N1"/>
  </mergeCells>
  <conditionalFormatting sqref="J4:J89">
    <cfRule type="cellIs" dxfId="4" priority="2" operator="equal">
      <formula>"Pass"</formula>
    </cfRule>
    <cfRule type="cellIs" dxfId="5" priority="3" operator="equal">
      <formula>"Fail"</formula>
    </cfRule>
    <cfRule type="cellIs" dxfId="6" priority="4" operator="equal">
      <formula>"Blocked"</formula>
    </cfRule>
    <cfRule type="cellIs" dxfId="7" priority="5" operator="equal">
      <formula>"Skipped"</formula>
    </cfRule>
    <cfRule type="cellIs" dxfId="8" priority="6" operator="equal">
      <formula>"N/A"</formula>
    </cfRule>
  </conditionalFormatting>
  <dataValidations count="6">
    <dataValidation type="list" allowBlank="1" errorStyle="stop" sqref="G10:G89">
      <formula1>"Sync,Supabase,App,Auth,RLS,App / RLS,Mixed"</formula1>
      <formula2>0</formula2>
    </dataValidation>
    <dataValidation type="list" allowBlank="1" errorStyle="stop" sqref="G4:G89">
      <formula1>"Sync,Supabase,App,Auth,RLS,App / RLS,Mixed"</formula1>
      <formula2>0</formula2>
    </dataValidation>
    <dataValidation type="list" allowBlank="1" errorStyle="stop" sqref="H10:H89">
      <formula1>"P0,P1,P2,P3"</formula1>
      <formula2>0</formula2>
    </dataValidation>
    <dataValidation type="list" allowBlank="1" errorStyle="stop" sqref="H4:H89">
      <formula1>"P0,P1,P2,P3"</formula1>
      <formula2>0</formula2>
    </dataValidation>
    <dataValidation type="list" allowBlank="1" errorStyle="stop" sqref="J10:J89">
      <formula1>"Not Run,Pass,Fail,Blocked,N/A"</formula1>
      <formula2>0</formula2>
    </dataValidation>
    <dataValidation type="list" allowBlank="1" errorStyle="stop" sqref="J4:J89">
      <formula1>"Not Run,Pass,Fail,Blocked,N/A"</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23"/>
  <sheetViews>
    <sheetView workbookViewId="0" zoomScale="100" zoomScaleNormal="100" view="normal">
      <pane xSplit="4" ySplit="3" topLeftCell="E4" activePane="bottomRight" state="frozen"/>
      <selection pane="bottomRight" activeCell="A1" sqref="A1"/>
    </sheetView>
  </sheetViews>
  <sheetFormatPr defaultRowHeight="15" outlineLevelRow="0" outlineLevelCol="0" x14ac:dyDescent="0" defaultColWidth="8.6796875"/>
  <cols>
    <col min="1" max="1" width="8" style="1" customWidth="1"/>
    <col min="2" max="2" width="18" style="1" customWidth="1"/>
    <col min="3" max="3" width="50" style="1" customWidth="1"/>
    <col min="4" max="11" width="12" style="1" customWidth="1"/>
  </cols>
  <sheetData>
    <row r="1" ht="19.5" customHeight="1" spans="1:11" x14ac:dyDescent="0.25">
      <c r="A1" s="2" t="s">
        <v>603</v>
      </c>
      <c r="B1" s="1"/>
      <c r="C1" s="1"/>
      <c r="D1" s="1"/>
      <c r="E1" s="1"/>
      <c r="F1" s="1"/>
      <c r="G1" s="1"/>
      <c r="H1" s="1"/>
      <c r="I1" s="1"/>
      <c r="J1" s="1"/>
      <c r="K1" s="1"/>
    </row>
    <row r="2" ht="21.75" customHeight="1" spans="1:11" x14ac:dyDescent="0.25">
      <c r="A2" s="1"/>
      <c r="B2" s="1"/>
      <c r="C2" s="1"/>
      <c r="D2" s="1"/>
      <c r="E2" s="5" t="s">
        <v>604</v>
      </c>
      <c r="F2" s="5" t="s">
        <v>605</v>
      </c>
      <c r="G2" s="5" t="s">
        <v>250</v>
      </c>
      <c r="H2" s="5" t="s">
        <v>606</v>
      </c>
      <c r="I2" s="5" t="s">
        <v>607</v>
      </c>
      <c r="J2" s="5" t="s">
        <v>608</v>
      </c>
      <c r="K2" s="5" t="s">
        <v>284</v>
      </c>
    </row>
    <row r="3" ht="27.75" customHeight="1" spans="1:11" x14ac:dyDescent="0.25">
      <c r="A3" s="5" t="s">
        <v>609</v>
      </c>
      <c r="B3" s="5" t="s">
        <v>610</v>
      </c>
      <c r="C3" s="5" t="s">
        <v>611</v>
      </c>
      <c r="D3" s="5" t="s">
        <v>235</v>
      </c>
      <c r="E3" s="5" t="s">
        <v>612</v>
      </c>
      <c r="F3" s="1" t="s">
        <v>250</v>
      </c>
      <c r="G3" s="1"/>
      <c r="H3" s="1"/>
      <c r="I3" s="1"/>
      <c r="J3" s="1"/>
      <c r="K3" s="1"/>
    </row>
    <row r="4" ht="15" customHeight="1" spans="1:11" x14ac:dyDescent="0.25">
      <c r="A4" s="8" t="s">
        <v>613</v>
      </c>
      <c r="B4" s="9" t="s">
        <v>505</v>
      </c>
      <c r="C4" s="9" t="s">
        <v>614</v>
      </c>
      <c r="D4" s="9" t="s">
        <v>246</v>
      </c>
      <c r="E4" s="10" t="s">
        <v>20</v>
      </c>
      <c r="F4" s="10" t="s">
        <v>20</v>
      </c>
      <c r="G4" s="10" t="s">
        <v>45</v>
      </c>
      <c r="H4" s="10" t="s">
        <v>20</v>
      </c>
      <c r="I4" s="10" t="s">
        <v>20</v>
      </c>
      <c r="J4" s="10" t="s">
        <v>20</v>
      </c>
      <c r="K4" s="10" t="s">
        <v>44</v>
      </c>
    </row>
    <row r="5" ht="15" customHeight="1" spans="1:11" x14ac:dyDescent="0.25">
      <c r="A5" s="8" t="s">
        <v>615</v>
      </c>
      <c r="B5" s="9" t="s">
        <v>519</v>
      </c>
      <c r="C5" s="9" t="s">
        <v>616</v>
      </c>
      <c r="D5" s="9" t="s">
        <v>246</v>
      </c>
      <c r="E5" s="10" t="s">
        <v>20</v>
      </c>
      <c r="F5" s="10" t="s">
        <v>20</v>
      </c>
      <c r="G5" s="10" t="s">
        <v>248</v>
      </c>
      <c r="H5" s="10" t="s">
        <v>20</v>
      </c>
      <c r="I5" s="10" t="s">
        <v>20</v>
      </c>
      <c r="J5" s="10" t="s">
        <v>20</v>
      </c>
      <c r="K5" s="10" t="s">
        <v>248</v>
      </c>
    </row>
    <row r="6" ht="15" customHeight="1" spans="1:11" x14ac:dyDescent="0.25">
      <c r="A6" s="8" t="s">
        <v>617</v>
      </c>
      <c r="B6" s="9" t="s">
        <v>524</v>
      </c>
      <c r="C6" s="9" t="s">
        <v>618</v>
      </c>
      <c r="D6" s="9" t="s">
        <v>256</v>
      </c>
      <c r="E6" s="10" t="s">
        <v>20</v>
      </c>
      <c r="F6" s="10" t="s">
        <v>20</v>
      </c>
      <c r="G6" s="10" t="s">
        <v>248</v>
      </c>
      <c r="H6" s="10" t="s">
        <v>20</v>
      </c>
      <c r="I6" s="10" t="s">
        <v>20</v>
      </c>
      <c r="J6" s="10" t="s">
        <v>20</v>
      </c>
      <c r="K6" s="10" t="s">
        <v>248</v>
      </c>
    </row>
    <row r="7" ht="15" customHeight="1" spans="1:11" x14ac:dyDescent="0.25">
      <c r="A7" s="8" t="s">
        <v>619</v>
      </c>
      <c r="B7" s="9" t="s">
        <v>528</v>
      </c>
      <c r="C7" s="9" t="s">
        <v>620</v>
      </c>
      <c r="D7" s="9" t="s">
        <v>56</v>
      </c>
      <c r="E7" s="10" t="s">
        <v>20</v>
      </c>
      <c r="F7" s="10" t="s">
        <v>20</v>
      </c>
      <c r="G7" s="10" t="s">
        <v>44</v>
      </c>
      <c r="H7" s="10" t="s">
        <v>20</v>
      </c>
      <c r="I7" s="10" t="s">
        <v>20</v>
      </c>
      <c r="J7" s="10" t="s">
        <v>20</v>
      </c>
      <c r="K7" s="10" t="s">
        <v>44</v>
      </c>
    </row>
    <row r="8" ht="15" customHeight="1" spans="1:11" x14ac:dyDescent="0.25">
      <c r="A8" s="8" t="s">
        <v>621</v>
      </c>
      <c r="B8" s="9" t="s">
        <v>533</v>
      </c>
      <c r="C8" s="9" t="s">
        <v>622</v>
      </c>
      <c r="D8" s="9" t="s">
        <v>56</v>
      </c>
      <c r="E8" s="10" t="s">
        <v>20</v>
      </c>
      <c r="F8" s="10" t="s">
        <v>20</v>
      </c>
      <c r="G8" s="10" t="s">
        <v>44</v>
      </c>
      <c r="H8" s="10" t="s">
        <v>20</v>
      </c>
      <c r="I8" s="10" t="s">
        <v>20</v>
      </c>
      <c r="J8" s="10" t="s">
        <v>20</v>
      </c>
      <c r="K8" s="10" t="s">
        <v>44</v>
      </c>
    </row>
    <row r="9" ht="15" customHeight="1" spans="1:11" x14ac:dyDescent="0.25">
      <c r="A9" s="8" t="s">
        <v>623</v>
      </c>
      <c r="B9" s="9" t="s">
        <v>537</v>
      </c>
      <c r="C9" s="9" t="s">
        <v>624</v>
      </c>
      <c r="D9" s="9" t="s">
        <v>56</v>
      </c>
      <c r="E9" s="10" t="s">
        <v>20</v>
      </c>
      <c r="F9" s="10" t="s">
        <v>20</v>
      </c>
      <c r="G9" s="10" t="s">
        <v>44</v>
      </c>
      <c r="H9" s="10" t="s">
        <v>20</v>
      </c>
      <c r="I9" s="10" t="s">
        <v>20</v>
      </c>
      <c r="J9" s="10" t="s">
        <v>20</v>
      </c>
      <c r="K9" s="10" t="s">
        <v>44</v>
      </c>
    </row>
    <row r="10" ht="15" customHeight="1" spans="1:11" x14ac:dyDescent="0.25">
      <c r="A10" s="8" t="s">
        <v>625</v>
      </c>
      <c r="B10" s="9" t="s">
        <v>545</v>
      </c>
      <c r="C10" s="9" t="s">
        <v>626</v>
      </c>
      <c r="D10" s="9" t="s">
        <v>56</v>
      </c>
      <c r="E10" s="10" t="s">
        <v>20</v>
      </c>
      <c r="F10" s="10" t="s">
        <v>20</v>
      </c>
      <c r="G10" s="10" t="s">
        <v>248</v>
      </c>
      <c r="H10" s="10" t="s">
        <v>20</v>
      </c>
      <c r="I10" s="10" t="s">
        <v>20</v>
      </c>
      <c r="J10" s="10" t="s">
        <v>20</v>
      </c>
      <c r="K10" s="10" t="s">
        <v>248</v>
      </c>
    </row>
    <row r="11" ht="15" customHeight="1" spans="1:11" x14ac:dyDescent="0.25">
      <c r="A11" s="8" t="s">
        <v>627</v>
      </c>
      <c r="B11" s="9" t="s">
        <v>337</v>
      </c>
      <c r="C11" s="9" t="s">
        <v>628</v>
      </c>
      <c r="D11" s="9" t="s">
        <v>256</v>
      </c>
      <c r="E11" s="10" t="s">
        <v>20</v>
      </c>
      <c r="F11" s="10" t="s">
        <v>20</v>
      </c>
      <c r="G11" s="10" t="s">
        <v>45</v>
      </c>
      <c r="H11" s="10" t="s">
        <v>20</v>
      </c>
      <c r="I11" s="10" t="s">
        <v>20</v>
      </c>
      <c r="J11" s="10" t="s">
        <v>20</v>
      </c>
      <c r="K11" s="10" t="s">
        <v>44</v>
      </c>
    </row>
    <row r="12" ht="15" customHeight="1" spans="1:11" x14ac:dyDescent="0.25">
      <c r="A12" s="8" t="s">
        <v>629</v>
      </c>
      <c r="B12" s="9" t="s">
        <v>357</v>
      </c>
      <c r="C12" s="9" t="s">
        <v>630</v>
      </c>
      <c r="D12" s="9" t="s">
        <v>256</v>
      </c>
      <c r="E12" s="10" t="s">
        <v>20</v>
      </c>
      <c r="F12" s="10" t="s">
        <v>20</v>
      </c>
      <c r="G12" s="10" t="s">
        <v>45</v>
      </c>
      <c r="H12" s="10" t="s">
        <v>20</v>
      </c>
      <c r="I12" s="10" t="s">
        <v>20</v>
      </c>
      <c r="J12" s="10" t="s">
        <v>20</v>
      </c>
      <c r="K12" s="10" t="s">
        <v>248</v>
      </c>
    </row>
    <row r="13" ht="15" customHeight="1" spans="1:11" x14ac:dyDescent="0.25">
      <c r="A13" s="8" t="s">
        <v>631</v>
      </c>
      <c r="B13" s="9" t="s">
        <v>368</v>
      </c>
      <c r="C13" s="9" t="s">
        <v>632</v>
      </c>
      <c r="D13" s="9" t="s">
        <v>256</v>
      </c>
      <c r="E13" s="10" t="s">
        <v>20</v>
      </c>
      <c r="F13" s="10" t="s">
        <v>20</v>
      </c>
      <c r="G13" s="10" t="s">
        <v>45</v>
      </c>
      <c r="H13" s="10" t="s">
        <v>20</v>
      </c>
      <c r="I13" s="10" t="s">
        <v>20</v>
      </c>
      <c r="J13" s="10" t="s">
        <v>20</v>
      </c>
      <c r="K13" s="10" t="s">
        <v>248</v>
      </c>
    </row>
    <row r="14" ht="15" customHeight="1" spans="1:11" x14ac:dyDescent="0.25">
      <c r="A14" s="8" t="s">
        <v>633</v>
      </c>
      <c r="B14" s="9" t="s">
        <v>379</v>
      </c>
      <c r="C14" s="9" t="s">
        <v>634</v>
      </c>
      <c r="D14" s="9" t="s">
        <v>256</v>
      </c>
      <c r="E14" s="10" t="s">
        <v>20</v>
      </c>
      <c r="F14" s="10" t="s">
        <v>20</v>
      </c>
      <c r="G14" s="10" t="s">
        <v>45</v>
      </c>
      <c r="H14" s="10" t="s">
        <v>20</v>
      </c>
      <c r="I14" s="10" t="s">
        <v>20</v>
      </c>
      <c r="J14" s="10" t="s">
        <v>20</v>
      </c>
      <c r="K14" s="10" t="s">
        <v>248</v>
      </c>
    </row>
    <row r="15" ht="15" customHeight="1" spans="1:11" x14ac:dyDescent="0.25">
      <c r="A15" s="8" t="s">
        <v>635</v>
      </c>
      <c r="B15" s="9" t="s">
        <v>391</v>
      </c>
      <c r="C15" s="9" t="s">
        <v>636</v>
      </c>
      <c r="D15" s="9" t="s">
        <v>256</v>
      </c>
      <c r="E15" s="10" t="s">
        <v>20</v>
      </c>
      <c r="F15" s="10" t="s">
        <v>20</v>
      </c>
      <c r="G15" s="10" t="s">
        <v>45</v>
      </c>
      <c r="H15" s="10" t="s">
        <v>20</v>
      </c>
      <c r="I15" s="10" t="s">
        <v>20</v>
      </c>
      <c r="J15" s="10" t="s">
        <v>20</v>
      </c>
      <c r="K15" s="10" t="s">
        <v>248</v>
      </c>
    </row>
    <row r="16" ht="15" customHeight="1" spans="1:11" x14ac:dyDescent="0.25">
      <c r="A16" s="8" t="s">
        <v>637</v>
      </c>
      <c r="B16" s="9" t="s">
        <v>577</v>
      </c>
      <c r="C16" s="9" t="s">
        <v>638</v>
      </c>
      <c r="D16" s="9" t="s">
        <v>256</v>
      </c>
      <c r="E16" s="10" t="s">
        <v>20</v>
      </c>
      <c r="F16" s="10" t="s">
        <v>20</v>
      </c>
      <c r="G16" s="10" t="s">
        <v>44</v>
      </c>
      <c r="H16" s="10" t="s">
        <v>20</v>
      </c>
      <c r="I16" s="10" t="s">
        <v>20</v>
      </c>
      <c r="J16" s="10" t="s">
        <v>20</v>
      </c>
      <c r="K16" s="10" t="s">
        <v>44</v>
      </c>
    </row>
    <row r="17" ht="15" customHeight="1" spans="1:11" x14ac:dyDescent="0.25">
      <c r="A17" s="8" t="s">
        <v>639</v>
      </c>
      <c r="B17" s="9" t="s">
        <v>640</v>
      </c>
      <c r="C17" s="9" t="s">
        <v>641</v>
      </c>
      <c r="D17" s="9" t="s">
        <v>256</v>
      </c>
      <c r="E17" s="10" t="s">
        <v>20</v>
      </c>
      <c r="F17" s="10" t="s">
        <v>20</v>
      </c>
      <c r="G17" s="10" t="s">
        <v>44</v>
      </c>
      <c r="H17" s="10" t="s">
        <v>20</v>
      </c>
      <c r="I17" s="10" t="s">
        <v>20</v>
      </c>
      <c r="J17" s="10" t="s">
        <v>20</v>
      </c>
      <c r="K17" s="10" t="s">
        <v>44</v>
      </c>
    </row>
    <row r="18" ht="15" customHeight="1" spans="1:11" x14ac:dyDescent="0.25">
      <c r="A18" s="8" t="s">
        <v>642</v>
      </c>
      <c r="B18" s="9" t="s">
        <v>640</v>
      </c>
      <c r="C18" s="9" t="s">
        <v>643</v>
      </c>
      <c r="D18" s="9" t="s">
        <v>256</v>
      </c>
      <c r="E18" s="10" t="s">
        <v>20</v>
      </c>
      <c r="F18" s="10" t="s">
        <v>20</v>
      </c>
      <c r="G18" s="10" t="s">
        <v>44</v>
      </c>
      <c r="H18" s="10" t="s">
        <v>20</v>
      </c>
      <c r="I18" s="10" t="s">
        <v>20</v>
      </c>
      <c r="J18" s="10" t="s">
        <v>20</v>
      </c>
      <c r="K18" s="10" t="s">
        <v>44</v>
      </c>
    </row>
    <row r="19" ht="15" customHeight="1" spans="1:11" x14ac:dyDescent="0.25">
      <c r="A19" s="8" t="s">
        <v>644</v>
      </c>
      <c r="B19" s="9" t="s">
        <v>556</v>
      </c>
      <c r="C19" s="9" t="s">
        <v>645</v>
      </c>
      <c r="D19" s="9" t="s">
        <v>246</v>
      </c>
      <c r="E19" s="10" t="s">
        <v>20</v>
      </c>
      <c r="F19" s="10" t="s">
        <v>20</v>
      </c>
      <c r="G19" s="10" t="s">
        <v>248</v>
      </c>
      <c r="H19" s="10" t="s">
        <v>20</v>
      </c>
      <c r="I19" s="10" t="s">
        <v>20</v>
      </c>
      <c r="J19" s="10" t="s">
        <v>20</v>
      </c>
      <c r="K19" s="10" t="s">
        <v>44</v>
      </c>
    </row>
    <row r="20" ht="15" customHeight="1" spans="1:11" x14ac:dyDescent="0.25">
      <c r="A20" s="8" t="s">
        <v>646</v>
      </c>
      <c r="B20" s="9" t="s">
        <v>560</v>
      </c>
      <c r="C20" s="9" t="s">
        <v>647</v>
      </c>
      <c r="D20" s="9" t="s">
        <v>246</v>
      </c>
      <c r="E20" s="10" t="s">
        <v>20</v>
      </c>
      <c r="F20" s="10" t="s">
        <v>20</v>
      </c>
      <c r="G20" s="10" t="s">
        <v>248</v>
      </c>
      <c r="H20" s="10" t="s">
        <v>20</v>
      </c>
      <c r="I20" s="10" t="s">
        <v>20</v>
      </c>
      <c r="J20" s="10" t="s">
        <v>20</v>
      </c>
      <c r="K20" s="10" t="s">
        <v>248</v>
      </c>
    </row>
    <row r="21" ht="15" customHeight="1" spans="1:11" x14ac:dyDescent="0.25">
      <c r="A21" s="8" t="s">
        <v>648</v>
      </c>
      <c r="B21" s="9" t="s">
        <v>491</v>
      </c>
      <c r="C21" s="9" t="s">
        <v>649</v>
      </c>
      <c r="D21" s="9" t="s">
        <v>256</v>
      </c>
      <c r="E21" s="10" t="s">
        <v>20</v>
      </c>
      <c r="F21" s="10" t="s">
        <v>20</v>
      </c>
      <c r="G21" s="10" t="s">
        <v>45</v>
      </c>
      <c r="H21" s="10" t="s">
        <v>20</v>
      </c>
      <c r="I21" s="10" t="s">
        <v>20</v>
      </c>
      <c r="J21" s="10" t="s">
        <v>20</v>
      </c>
      <c r="K21" s="10" t="s">
        <v>248</v>
      </c>
    </row>
    <row r="22" spans="1:1" x14ac:dyDescent="0.25">
      <c r="A22" s="1"/>
    </row>
    <row r="23" ht="15" customHeight="1" spans="1:11" x14ac:dyDescent="0.25">
      <c r="A23" s="12" t="s">
        <v>650</v>
      </c>
      <c r="E23" s="13">
        <f>IF(COUNTA(E4:E21)=0,"-",COUNTIF(E4:E21,"Pass")/18)</f>
      </c>
      <c r="F23" s="13">
        <f>IF(COUNTA(F4:F21)=0,"-",COUNTIF(F4:F21,"Pass")/18)</f>
      </c>
      <c r="G23" s="13">
        <f>IF(COUNTA(G4:G21)=0,"-",COUNTIF(G4:G21,"Pass")/18)</f>
      </c>
      <c r="H23" s="13">
        <f>IF(COUNTA(H4:H21)=0,"-",COUNTIF(H4:H21,"Pass")/18)</f>
      </c>
      <c r="I23" s="13">
        <f>IF(COUNTA(I4:I21)=0,"-",COUNTIF(I4:I21,"Pass")/18)</f>
      </c>
      <c r="J23" s="13">
        <f>IF(COUNTA(J4:J21)=0,"-",COUNTIF(J4:J21,"Pass")/18)</f>
      </c>
      <c r="K23" s="13">
        <f>IF(COUNTA(K4:K21)=0,"-",COUNTIF(K4:K21,"Pass")/18)</f>
      </c>
    </row>
  </sheetData>
  <mergeCells count="1">
    <mergeCell ref="A1:H1"/>
  </mergeCells>
  <conditionalFormatting sqref="E4:K21">
    <cfRule type="cellIs" dxfId="9" priority="2" operator="equal">
      <formula>"Pass"</formula>
    </cfRule>
    <cfRule type="cellIs" dxfId="10" priority="3" operator="equal">
      <formula>"Fail"</formula>
    </cfRule>
    <cfRule type="cellIs" dxfId="11" priority="4" operator="equal">
      <formula>"Skipped"</formula>
    </cfRule>
  </conditionalFormatting>
  <dataValidations count="2">
    <dataValidation type="list" allowBlank="1" errorStyle="stop" sqref="E10:K21">
      <formula1>"Not Run,Pass,Fail,Skipped"</formula1>
      <formula2>0</formula2>
    </dataValidation>
    <dataValidation type="list" allowBlank="1" errorStyle="stop" sqref="E4:K21">
      <formula1>"Not Run,Pass,Fail,Skipped"</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53"/>
  <sheetViews>
    <sheetView workbookViewId="0" zoomScale="100" zoomScaleNormal="100" view="normal">
      <pane ySplit="3" topLeftCell="A4" activePane="bottomLeft" state="frozen"/>
      <selection pane="bottomLeft" activeCell="A1" sqref="A1"/>
    </sheetView>
  </sheetViews>
  <sheetFormatPr defaultRowHeight="15" outlineLevelRow="0" outlineLevelCol="0" x14ac:dyDescent="0" defaultColWidth="8.6796875"/>
  <cols>
    <col min="1" max="1" width="10" style="1" customWidth="1"/>
    <col min="2" max="2" width="38" style="1" customWidth="1"/>
    <col min="3" max="3" width="16" style="1" customWidth="1"/>
    <col min="4" max="4" width="14" style="1" customWidth="1"/>
    <col min="5" max="6" width="12" style="1" customWidth="1"/>
    <col min="7" max="8" width="10" style="1" customWidth="1"/>
    <col min="9" max="9" width="18" style="1" customWidth="1"/>
    <col min="10" max="10" width="14" style="1" customWidth="1"/>
    <col min="11" max="12" width="12" style="1" customWidth="1"/>
    <col min="13" max="13" width="38" style="1" customWidth="1"/>
    <col min="14" max="14" width="14" style="1" customWidth="1"/>
  </cols>
  <sheetData>
    <row r="1" ht="19.5" customHeight="1" spans="1:14" x14ac:dyDescent="0.25">
      <c r="A1" s="2" t="s">
        <v>651</v>
      </c>
      <c r="B1" s="1"/>
      <c r="C1" s="1"/>
      <c r="D1" s="1"/>
      <c r="E1" s="1"/>
      <c r="F1" s="1"/>
      <c r="G1" s="1"/>
      <c r="H1" s="1"/>
      <c r="I1" s="1"/>
      <c r="J1" s="1"/>
      <c r="K1" s="1"/>
      <c r="L1" s="1"/>
      <c r="M1" s="1"/>
      <c r="N1" s="1"/>
    </row>
    <row r="2" spans="1:1" x14ac:dyDescent="0.25">
      <c r="A2" s="1"/>
    </row>
    <row r="3" ht="31.5" customHeight="1" spans="1:14" x14ac:dyDescent="0.25">
      <c r="A3" s="5" t="s">
        <v>652</v>
      </c>
      <c r="B3" s="5" t="s">
        <v>142</v>
      </c>
      <c r="C3" s="5" t="s">
        <v>653</v>
      </c>
      <c r="D3" s="5" t="s">
        <v>654</v>
      </c>
      <c r="E3" s="5" t="s">
        <v>655</v>
      </c>
      <c r="F3" s="5" t="s">
        <v>235</v>
      </c>
      <c r="G3" s="5" t="s">
        <v>656</v>
      </c>
      <c r="H3" s="5" t="s">
        <v>236</v>
      </c>
      <c r="I3" s="5" t="s">
        <v>146</v>
      </c>
      <c r="J3" s="5" t="s">
        <v>657</v>
      </c>
      <c r="K3" s="5" t="s">
        <v>658</v>
      </c>
      <c r="L3" s="5" t="s">
        <v>659</v>
      </c>
      <c r="M3" s="5" t="s">
        <v>660</v>
      </c>
      <c r="N3" s="5" t="s">
        <v>661</v>
      </c>
    </row>
    <row r="4" ht="15" customHeight="1" spans="1:14" x14ac:dyDescent="0.25">
      <c r="A4" s="9" t="s">
        <v>662</v>
      </c>
      <c r="B4" s="9" t="s">
        <v>663</v>
      </c>
      <c r="C4" s="9" t="s">
        <v>664</v>
      </c>
      <c r="D4" s="9" t="s">
        <v>215</v>
      </c>
      <c r="E4" s="9" t="s">
        <v>665</v>
      </c>
      <c r="F4" s="9" t="s">
        <v>256</v>
      </c>
      <c r="G4" s="9" t="s">
        <v>666</v>
      </c>
      <c r="H4" s="9" t="s">
        <v>269</v>
      </c>
      <c r="I4" s="9" t="s">
        <v>667</v>
      </c>
      <c r="J4" s="9" t="s">
        <v>668</v>
      </c>
      <c r="K4" s="9" t="s">
        <v>250</v>
      </c>
      <c r="L4" s="9"/>
      <c r="M4" s="9"/>
      <c r="N4" s="9"/>
    </row>
    <row r="5" ht="15" customHeight="1" spans="1:14" x14ac:dyDescent="0.25">
      <c r="A5" s="9" t="s">
        <v>669</v>
      </c>
      <c r="B5" s="9" t="s">
        <v>670</v>
      </c>
      <c r="C5" s="9" t="s">
        <v>671</v>
      </c>
      <c r="D5" s="9" t="s">
        <v>672</v>
      </c>
      <c r="E5" s="9" t="s">
        <v>673</v>
      </c>
      <c r="F5" s="9" t="s">
        <v>256</v>
      </c>
      <c r="G5" s="9" t="s">
        <v>666</v>
      </c>
      <c r="H5" s="9" t="s">
        <v>247</v>
      </c>
      <c r="I5" s="9" t="s">
        <v>667</v>
      </c>
      <c r="J5" s="9" t="s">
        <v>668</v>
      </c>
      <c r="K5" s="9" t="s">
        <v>250</v>
      </c>
      <c r="L5" s="9"/>
      <c r="M5" s="9"/>
      <c r="N5" s="9"/>
    </row>
    <row r="6" ht="15" customHeight="1" spans="1:14" x14ac:dyDescent="0.25">
      <c r="A6" s="9" t="s">
        <v>674</v>
      </c>
      <c r="B6" s="9" t="s">
        <v>675</v>
      </c>
      <c r="C6" s="9" t="s">
        <v>676</v>
      </c>
      <c r="D6" s="9" t="s">
        <v>677</v>
      </c>
      <c r="E6" s="9" t="s">
        <v>678</v>
      </c>
      <c r="F6" s="9" t="s">
        <v>246</v>
      </c>
      <c r="G6" s="9" t="s">
        <v>679</v>
      </c>
      <c r="H6" s="9" t="s">
        <v>247</v>
      </c>
      <c r="I6" s="9" t="s">
        <v>667</v>
      </c>
      <c r="J6" s="9" t="s">
        <v>668</v>
      </c>
      <c r="K6" s="9" t="s">
        <v>250</v>
      </c>
      <c r="L6" s="9"/>
      <c r="M6" s="9"/>
      <c r="N6" s="9"/>
    </row>
    <row r="7" ht="15" customHeight="1" spans="1:14" x14ac:dyDescent="0.25">
      <c r="A7" s="9" t="s">
        <v>680</v>
      </c>
      <c r="B7" s="9" t="s">
        <v>681</v>
      </c>
      <c r="C7" s="9" t="s">
        <v>442</v>
      </c>
      <c r="D7" s="9" t="s">
        <v>200</v>
      </c>
      <c r="E7" s="9" t="s">
        <v>682</v>
      </c>
      <c r="F7" s="9" t="s">
        <v>683</v>
      </c>
      <c r="G7" s="9" t="s">
        <v>666</v>
      </c>
      <c r="H7" s="9" t="s">
        <v>269</v>
      </c>
      <c r="I7" s="9" t="s">
        <v>31</v>
      </c>
      <c r="J7" s="9" t="s">
        <v>249</v>
      </c>
      <c r="K7" s="9" t="s">
        <v>284</v>
      </c>
      <c r="L7" s="9" t="s">
        <v>684</v>
      </c>
      <c r="M7" s="9"/>
      <c r="N7" s="9"/>
    </row>
    <row r="8" ht="15" customHeight="1" spans="1:14" x14ac:dyDescent="0.25">
      <c r="A8" s="9" t="s">
        <v>685</v>
      </c>
      <c r="B8" s="9" t="s">
        <v>686</v>
      </c>
      <c r="C8" s="9" t="s">
        <v>687</v>
      </c>
      <c r="D8" s="9" t="s">
        <v>166</v>
      </c>
      <c r="E8" s="9" t="s">
        <v>682</v>
      </c>
      <c r="F8" s="9" t="s">
        <v>320</v>
      </c>
      <c r="G8" s="9" t="s">
        <v>688</v>
      </c>
      <c r="H8" s="9" t="s">
        <v>689</v>
      </c>
      <c r="I8" s="9" t="s">
        <v>31</v>
      </c>
      <c r="J8" s="9" t="s">
        <v>249</v>
      </c>
      <c r="K8" s="9" t="s">
        <v>284</v>
      </c>
      <c r="L8" s="9" t="s">
        <v>690</v>
      </c>
      <c r="M8" s="9"/>
      <c r="N8" s="9"/>
    </row>
    <row r="9" ht="15" customHeight="1" spans="1:14" x14ac:dyDescent="0.25">
      <c r="A9" s="9" t="s">
        <v>691</v>
      </c>
      <c r="B9" s="9" t="s">
        <v>692</v>
      </c>
      <c r="C9" s="9" t="s">
        <v>687</v>
      </c>
      <c r="D9" s="9" t="s">
        <v>215</v>
      </c>
      <c r="E9" s="9" t="s">
        <v>682</v>
      </c>
      <c r="F9" s="9" t="s">
        <v>693</v>
      </c>
      <c r="G9" s="9" t="s">
        <v>666</v>
      </c>
      <c r="H9" s="9" t="s">
        <v>428</v>
      </c>
      <c r="I9" s="9" t="s">
        <v>31</v>
      </c>
      <c r="J9" s="9" t="s">
        <v>249</v>
      </c>
      <c r="K9" s="9" t="s">
        <v>284</v>
      </c>
      <c r="L9" s="9" t="s">
        <v>694</v>
      </c>
      <c r="M9" s="9"/>
      <c r="N9" s="9"/>
    </row>
    <row r="10" ht="15" customHeight="1" spans="1:14" x14ac:dyDescent="0.25">
      <c r="A10" s="9" t="s">
        <v>695</v>
      </c>
      <c r="B10" s="9" t="s">
        <v>696</v>
      </c>
      <c r="C10" s="9" t="s">
        <v>687</v>
      </c>
      <c r="D10" s="9" t="s">
        <v>171</v>
      </c>
      <c r="E10" s="9" t="s">
        <v>682</v>
      </c>
      <c r="F10" s="9" t="s">
        <v>697</v>
      </c>
      <c r="G10" s="9" t="s">
        <v>688</v>
      </c>
      <c r="H10" s="9" t="s">
        <v>689</v>
      </c>
      <c r="I10" s="9" t="s">
        <v>31</v>
      </c>
      <c r="J10" s="9" t="s">
        <v>249</v>
      </c>
      <c r="K10" s="9" t="s">
        <v>284</v>
      </c>
      <c r="L10" s="9" t="s">
        <v>698</v>
      </c>
      <c r="M10" s="9"/>
      <c r="N10" s="9"/>
    </row>
    <row r="11" ht="15" customHeight="1" spans="1:14" x14ac:dyDescent="0.25">
      <c r="A11" s="9" t="s">
        <v>699</v>
      </c>
      <c r="B11" s="9" t="s">
        <v>700</v>
      </c>
      <c r="C11" s="9" t="s">
        <v>701</v>
      </c>
      <c r="D11" s="9" t="s">
        <v>166</v>
      </c>
      <c r="E11" s="9" t="s">
        <v>682</v>
      </c>
      <c r="F11" s="9" t="s">
        <v>702</v>
      </c>
      <c r="G11" s="9" t="s">
        <v>688</v>
      </c>
      <c r="H11" s="9" t="s">
        <v>689</v>
      </c>
      <c r="I11" s="9" t="s">
        <v>31</v>
      </c>
      <c r="J11" s="9" t="s">
        <v>249</v>
      </c>
      <c r="K11" s="9" t="s">
        <v>284</v>
      </c>
      <c r="L11" s="9" t="s">
        <v>703</v>
      </c>
      <c r="M11" s="9"/>
      <c r="N11" s="9"/>
    </row>
    <row r="12" ht="15" customHeight="1" spans="1:14" x14ac:dyDescent="0.25">
      <c r="A12" s="9"/>
      <c r="B12" s="9"/>
      <c r="C12" s="9"/>
      <c r="D12" s="9"/>
      <c r="E12" s="9"/>
      <c r="F12" s="9"/>
      <c r="G12" s="9"/>
      <c r="H12" s="9"/>
      <c r="I12" s="9"/>
      <c r="J12" s="9"/>
      <c r="K12" s="9"/>
      <c r="L12" s="9"/>
      <c r="M12" s="9"/>
      <c r="N12" s="9"/>
    </row>
    <row r="13" ht="15" customHeight="1" spans="1:14" x14ac:dyDescent="0.25">
      <c r="A13" s="9"/>
      <c r="B13" s="9"/>
      <c r="C13" s="9"/>
      <c r="D13" s="9"/>
      <c r="E13" s="9"/>
      <c r="F13" s="9"/>
      <c r="G13" s="9"/>
      <c r="H13" s="9"/>
      <c r="I13" s="9"/>
      <c r="J13" s="9"/>
      <c r="K13" s="9"/>
      <c r="L13" s="9"/>
      <c r="M13" s="9"/>
      <c r="N13" s="9"/>
    </row>
    <row r="14" ht="15" customHeight="1" spans="1:14" x14ac:dyDescent="0.25">
      <c r="A14" s="9"/>
      <c r="B14" s="9"/>
      <c r="C14" s="9"/>
      <c r="D14" s="9"/>
      <c r="E14" s="9"/>
      <c r="F14" s="9"/>
      <c r="G14" s="9"/>
      <c r="H14" s="9"/>
      <c r="I14" s="9"/>
      <c r="J14" s="9"/>
      <c r="K14" s="9"/>
      <c r="L14" s="9"/>
      <c r="M14" s="9"/>
      <c r="N14" s="9"/>
    </row>
    <row r="15" ht="15" customHeight="1" spans="1:14" x14ac:dyDescent="0.25">
      <c r="A15" s="9"/>
      <c r="B15" s="9"/>
      <c r="C15" s="9"/>
      <c r="D15" s="9"/>
      <c r="E15" s="9"/>
      <c r="F15" s="9"/>
      <c r="G15" s="9"/>
      <c r="H15" s="9"/>
      <c r="I15" s="9"/>
      <c r="J15" s="9"/>
      <c r="K15" s="9"/>
      <c r="L15" s="9"/>
      <c r="M15" s="9"/>
      <c r="N15" s="9"/>
    </row>
    <row r="16" ht="15" customHeight="1" spans="1:14" x14ac:dyDescent="0.25">
      <c r="A16" s="9"/>
      <c r="B16" s="9"/>
      <c r="C16" s="9"/>
      <c r="D16" s="9"/>
      <c r="E16" s="9"/>
      <c r="F16" s="9"/>
      <c r="G16" s="9"/>
      <c r="H16" s="9"/>
      <c r="I16" s="9"/>
      <c r="J16" s="9"/>
      <c r="K16" s="9"/>
      <c r="L16" s="9"/>
      <c r="M16" s="9"/>
      <c r="N16" s="9"/>
    </row>
    <row r="17" ht="15" customHeight="1" spans="1:14" x14ac:dyDescent="0.25">
      <c r="A17" s="9"/>
      <c r="B17" s="9"/>
      <c r="C17" s="9"/>
      <c r="D17" s="9"/>
      <c r="E17" s="9"/>
      <c r="F17" s="9"/>
      <c r="G17" s="9"/>
      <c r="H17" s="9"/>
      <c r="I17" s="9"/>
      <c r="J17" s="9"/>
      <c r="K17" s="9"/>
      <c r="L17" s="9"/>
      <c r="M17" s="9"/>
      <c r="N17" s="9"/>
    </row>
    <row r="18" ht="15" customHeight="1" spans="1:14" x14ac:dyDescent="0.25">
      <c r="A18" s="9"/>
      <c r="B18" s="9"/>
      <c r="C18" s="9"/>
      <c r="D18" s="9"/>
      <c r="E18" s="9"/>
      <c r="F18" s="9"/>
      <c r="G18" s="9"/>
      <c r="H18" s="9"/>
      <c r="I18" s="9"/>
      <c r="J18" s="9"/>
      <c r="K18" s="9"/>
      <c r="L18" s="9"/>
      <c r="M18" s="9"/>
      <c r="N18" s="9"/>
    </row>
    <row r="19" ht="15" customHeight="1" spans="1:14" x14ac:dyDescent="0.25">
      <c r="A19" s="9"/>
      <c r="B19" s="9"/>
      <c r="C19" s="9"/>
      <c r="D19" s="9"/>
      <c r="E19" s="9"/>
      <c r="F19" s="9"/>
      <c r="G19" s="9"/>
      <c r="H19" s="9"/>
      <c r="I19" s="9"/>
      <c r="J19" s="9"/>
      <c r="K19" s="9"/>
      <c r="L19" s="9"/>
      <c r="M19" s="9"/>
      <c r="N19" s="9"/>
    </row>
    <row r="20" ht="15" customHeight="1" spans="1:14" x14ac:dyDescent="0.25">
      <c r="A20" s="9"/>
      <c r="B20" s="9"/>
      <c r="C20" s="9"/>
      <c r="D20" s="9"/>
      <c r="E20" s="9"/>
      <c r="F20" s="9"/>
      <c r="G20" s="9"/>
      <c r="H20" s="9"/>
      <c r="I20" s="9"/>
      <c r="J20" s="9"/>
      <c r="K20" s="9"/>
      <c r="L20" s="9"/>
      <c r="M20" s="9"/>
      <c r="N20" s="9"/>
    </row>
    <row r="21" ht="15" customHeight="1" spans="1:14" x14ac:dyDescent="0.25">
      <c r="A21" s="9"/>
      <c r="B21" s="9"/>
      <c r="C21" s="9"/>
      <c r="D21" s="9"/>
      <c r="E21" s="9"/>
      <c r="F21" s="9"/>
      <c r="G21" s="9"/>
      <c r="H21" s="9"/>
      <c r="I21" s="9"/>
      <c r="J21" s="9"/>
      <c r="K21" s="9"/>
      <c r="L21" s="9"/>
      <c r="M21" s="9"/>
      <c r="N21" s="9"/>
    </row>
    <row r="22" ht="15" customHeight="1" spans="1:14" x14ac:dyDescent="0.25">
      <c r="A22" s="9"/>
      <c r="B22" s="9"/>
      <c r="C22" s="9"/>
      <c r="D22" s="9"/>
      <c r="E22" s="9"/>
      <c r="F22" s="9"/>
      <c r="G22" s="9"/>
      <c r="H22" s="9"/>
      <c r="I22" s="9"/>
      <c r="J22" s="9"/>
      <c r="K22" s="9"/>
      <c r="L22" s="9"/>
      <c r="M22" s="9"/>
      <c r="N22" s="9"/>
    </row>
    <row r="23" ht="15" customHeight="1" spans="1:14" x14ac:dyDescent="0.25">
      <c r="A23" s="9"/>
      <c r="B23" s="9"/>
      <c r="C23" s="9"/>
      <c r="D23" s="9"/>
      <c r="E23" s="9"/>
      <c r="F23" s="9"/>
      <c r="G23" s="9"/>
      <c r="H23" s="9"/>
      <c r="I23" s="9"/>
      <c r="J23" s="9"/>
      <c r="K23" s="9"/>
      <c r="L23" s="9"/>
      <c r="M23" s="9"/>
      <c r="N23" s="9"/>
    </row>
    <row r="24" ht="15" customHeight="1" spans="1:14" x14ac:dyDescent="0.25">
      <c r="A24" s="9"/>
      <c r="B24" s="9"/>
      <c r="C24" s="9"/>
      <c r="D24" s="9"/>
      <c r="E24" s="9"/>
      <c r="F24" s="9"/>
      <c r="G24" s="9"/>
      <c r="H24" s="9"/>
      <c r="I24" s="9"/>
      <c r="J24" s="9"/>
      <c r="K24" s="9"/>
      <c r="L24" s="9"/>
      <c r="M24" s="9"/>
      <c r="N24" s="9"/>
    </row>
    <row r="25" ht="15" customHeight="1" spans="1:14" x14ac:dyDescent="0.25">
      <c r="A25" s="9"/>
      <c r="B25" s="9"/>
      <c r="C25" s="9"/>
      <c r="D25" s="9"/>
      <c r="E25" s="9"/>
      <c r="F25" s="9"/>
      <c r="G25" s="9"/>
      <c r="H25" s="9"/>
      <c r="I25" s="9"/>
      <c r="J25" s="9"/>
      <c r="K25" s="9"/>
      <c r="L25" s="9"/>
      <c r="M25" s="9"/>
      <c r="N25" s="9"/>
    </row>
    <row r="26" ht="15" customHeight="1" spans="1:14" x14ac:dyDescent="0.25">
      <c r="A26" s="9"/>
      <c r="B26" s="9"/>
      <c r="C26" s="9"/>
      <c r="D26" s="9"/>
      <c r="E26" s="9"/>
      <c r="F26" s="9"/>
      <c r="G26" s="9"/>
      <c r="H26" s="9"/>
      <c r="I26" s="9"/>
      <c r="J26" s="9"/>
      <c r="K26" s="9"/>
      <c r="L26" s="9"/>
      <c r="M26" s="9"/>
      <c r="N26" s="9"/>
    </row>
    <row r="27" ht="15" customHeight="1" spans="1:14" x14ac:dyDescent="0.25">
      <c r="A27" s="9"/>
      <c r="B27" s="9"/>
      <c r="C27" s="9"/>
      <c r="D27" s="9"/>
      <c r="E27" s="9"/>
      <c r="F27" s="9"/>
      <c r="G27" s="9"/>
      <c r="H27" s="9"/>
      <c r="I27" s="9"/>
      <c r="J27" s="9"/>
      <c r="K27" s="9"/>
      <c r="L27" s="9"/>
      <c r="M27" s="9"/>
      <c r="N27" s="9"/>
    </row>
    <row r="28" ht="15" customHeight="1" spans="1:14" x14ac:dyDescent="0.25">
      <c r="A28" s="9"/>
      <c r="B28" s="9"/>
      <c r="C28" s="9"/>
      <c r="D28" s="9"/>
      <c r="E28" s="9"/>
      <c r="F28" s="9"/>
      <c r="G28" s="9"/>
      <c r="H28" s="9"/>
      <c r="I28" s="9"/>
      <c r="J28" s="9"/>
      <c r="K28" s="9"/>
      <c r="L28" s="9"/>
      <c r="M28" s="9"/>
      <c r="N28" s="9"/>
    </row>
    <row r="29" ht="15" customHeight="1" spans="1:14" x14ac:dyDescent="0.25">
      <c r="A29" s="9"/>
      <c r="B29" s="9"/>
      <c r="C29" s="9"/>
      <c r="D29" s="9"/>
      <c r="E29" s="9"/>
      <c r="F29" s="9"/>
      <c r="G29" s="9"/>
      <c r="H29" s="9"/>
      <c r="I29" s="9"/>
      <c r="J29" s="9"/>
      <c r="K29" s="9"/>
      <c r="L29" s="9"/>
      <c r="M29" s="9"/>
      <c r="N29" s="9"/>
    </row>
    <row r="30" ht="15" customHeight="1" spans="1:14" x14ac:dyDescent="0.25">
      <c r="A30" s="9"/>
      <c r="B30" s="9"/>
      <c r="C30" s="9"/>
      <c r="D30" s="9"/>
      <c r="E30" s="9"/>
      <c r="F30" s="9"/>
      <c r="G30" s="9"/>
      <c r="H30" s="9"/>
      <c r="I30" s="9"/>
      <c r="J30" s="9"/>
      <c r="K30" s="9"/>
      <c r="L30" s="9"/>
      <c r="M30" s="9"/>
      <c r="N30" s="9"/>
    </row>
    <row r="31" ht="15" customHeight="1" spans="1:14" x14ac:dyDescent="0.25">
      <c r="A31" s="9"/>
      <c r="B31" s="9"/>
      <c r="C31" s="9"/>
      <c r="D31" s="9"/>
      <c r="E31" s="9"/>
      <c r="F31" s="9"/>
      <c r="G31" s="9"/>
      <c r="H31" s="9"/>
      <c r="I31" s="9"/>
      <c r="J31" s="9"/>
      <c r="K31" s="9"/>
      <c r="L31" s="9"/>
      <c r="M31" s="9"/>
      <c r="N31" s="9"/>
    </row>
    <row r="32" ht="15" customHeight="1" spans="1:14" x14ac:dyDescent="0.25">
      <c r="A32" s="9"/>
      <c r="B32" s="9"/>
      <c r="C32" s="9"/>
      <c r="D32" s="9"/>
      <c r="E32" s="9"/>
      <c r="F32" s="9"/>
      <c r="G32" s="9"/>
      <c r="H32" s="9"/>
      <c r="I32" s="9"/>
      <c r="J32" s="9"/>
      <c r="K32" s="9"/>
      <c r="L32" s="9"/>
      <c r="M32" s="9"/>
      <c r="N32" s="9"/>
    </row>
    <row r="33" ht="15" customHeight="1" spans="1:14" x14ac:dyDescent="0.25">
      <c r="A33" s="9"/>
      <c r="B33" s="9"/>
      <c r="C33" s="9"/>
      <c r="D33" s="9"/>
      <c r="E33" s="9"/>
      <c r="F33" s="9"/>
      <c r="G33" s="9"/>
      <c r="H33" s="9"/>
      <c r="I33" s="9"/>
      <c r="J33" s="9"/>
      <c r="K33" s="9"/>
      <c r="L33" s="9"/>
      <c r="M33" s="9"/>
      <c r="N33" s="9"/>
    </row>
    <row r="34" ht="15" customHeight="1" spans="1:14" x14ac:dyDescent="0.25">
      <c r="A34" s="9"/>
      <c r="B34" s="9"/>
      <c r="C34" s="9"/>
      <c r="D34" s="9"/>
      <c r="E34" s="9"/>
      <c r="F34" s="9"/>
      <c r="G34" s="9"/>
      <c r="H34" s="9"/>
      <c r="I34" s="9"/>
      <c r="J34" s="9"/>
      <c r="K34" s="9"/>
      <c r="L34" s="9"/>
      <c r="M34" s="9"/>
      <c r="N34" s="9"/>
    </row>
    <row r="35" ht="15" customHeight="1" spans="1:14" x14ac:dyDescent="0.25">
      <c r="A35" s="9"/>
      <c r="B35" s="9"/>
      <c r="C35" s="9"/>
      <c r="D35" s="9"/>
      <c r="E35" s="9"/>
      <c r="F35" s="9"/>
      <c r="G35" s="9"/>
      <c r="H35" s="9"/>
      <c r="I35" s="9"/>
      <c r="J35" s="9"/>
      <c r="K35" s="9"/>
      <c r="L35" s="9"/>
      <c r="M35" s="9"/>
      <c r="N35" s="9"/>
    </row>
    <row r="36" ht="15" customHeight="1" spans="1:14" x14ac:dyDescent="0.25">
      <c r="A36" s="9"/>
      <c r="B36" s="9"/>
      <c r="C36" s="9"/>
      <c r="D36" s="9"/>
      <c r="E36" s="9"/>
      <c r="F36" s="9"/>
      <c r="G36" s="9"/>
      <c r="H36" s="9"/>
      <c r="I36" s="9"/>
      <c r="J36" s="9"/>
      <c r="K36" s="9"/>
      <c r="L36" s="9"/>
      <c r="M36" s="9"/>
      <c r="N36" s="9"/>
    </row>
    <row r="37" ht="15" customHeight="1" spans="1:14" x14ac:dyDescent="0.25">
      <c r="A37" s="9"/>
      <c r="B37" s="9"/>
      <c r="C37" s="9"/>
      <c r="D37" s="9"/>
      <c r="E37" s="9"/>
      <c r="F37" s="9"/>
      <c r="G37" s="9"/>
      <c r="H37" s="9"/>
      <c r="I37" s="9"/>
      <c r="J37" s="9"/>
      <c r="K37" s="9"/>
      <c r="L37" s="9"/>
      <c r="M37" s="9"/>
      <c r="N37" s="9"/>
    </row>
    <row r="38" ht="15" customHeight="1" spans="1:14" x14ac:dyDescent="0.25">
      <c r="A38" s="9"/>
      <c r="B38" s="9"/>
      <c r="C38" s="9"/>
      <c r="D38" s="9"/>
      <c r="E38" s="9"/>
      <c r="F38" s="9"/>
      <c r="G38" s="9"/>
      <c r="H38" s="9"/>
      <c r="I38" s="9"/>
      <c r="J38" s="9"/>
      <c r="K38" s="9"/>
      <c r="L38" s="9"/>
      <c r="M38" s="9"/>
      <c r="N38" s="9"/>
    </row>
    <row r="39" ht="15" customHeight="1" spans="1:14" x14ac:dyDescent="0.25">
      <c r="A39" s="9"/>
      <c r="B39" s="9"/>
      <c r="C39" s="9"/>
      <c r="D39" s="9"/>
      <c r="E39" s="9"/>
      <c r="F39" s="9"/>
      <c r="G39" s="9"/>
      <c r="H39" s="9"/>
      <c r="I39" s="9"/>
      <c r="J39" s="9"/>
      <c r="K39" s="9"/>
      <c r="L39" s="9"/>
      <c r="M39" s="9"/>
      <c r="N39" s="9"/>
    </row>
    <row r="40" ht="15" customHeight="1" spans="1:14" x14ac:dyDescent="0.25">
      <c r="A40" s="9"/>
      <c r="B40" s="9"/>
      <c r="C40" s="9"/>
      <c r="D40" s="9"/>
      <c r="E40" s="9"/>
      <c r="F40" s="9"/>
      <c r="G40" s="9"/>
      <c r="H40" s="9"/>
      <c r="I40" s="9"/>
      <c r="J40" s="9"/>
      <c r="K40" s="9"/>
      <c r="L40" s="9"/>
      <c r="M40" s="9"/>
      <c r="N40" s="9"/>
    </row>
    <row r="41" ht="15" customHeight="1" spans="1:14" x14ac:dyDescent="0.25">
      <c r="A41" s="9"/>
      <c r="B41" s="9"/>
      <c r="C41" s="9"/>
      <c r="D41" s="9"/>
      <c r="E41" s="9"/>
      <c r="F41" s="9"/>
      <c r="G41" s="9"/>
      <c r="H41" s="9"/>
      <c r="I41" s="9"/>
      <c r="J41" s="9"/>
      <c r="K41" s="9"/>
      <c r="L41" s="9"/>
      <c r="M41" s="9"/>
      <c r="N41" s="9"/>
    </row>
    <row r="42" ht="15" customHeight="1" spans="1:14" x14ac:dyDescent="0.25">
      <c r="A42" s="9"/>
      <c r="B42" s="9"/>
      <c r="C42" s="9"/>
      <c r="D42" s="9"/>
      <c r="E42" s="9"/>
      <c r="F42" s="9"/>
      <c r="G42" s="9"/>
      <c r="H42" s="9"/>
      <c r="I42" s="9"/>
      <c r="J42" s="9"/>
      <c r="K42" s="9"/>
      <c r="L42" s="9"/>
      <c r="M42" s="9"/>
      <c r="N42" s="9"/>
    </row>
    <row r="43" ht="15" customHeight="1" spans="1:14" x14ac:dyDescent="0.25">
      <c r="A43" s="9"/>
      <c r="B43" s="9"/>
      <c r="C43" s="9"/>
      <c r="D43" s="9"/>
      <c r="E43" s="9"/>
      <c r="F43" s="9"/>
      <c r="G43" s="9"/>
      <c r="H43" s="9"/>
      <c r="I43" s="9"/>
      <c r="J43" s="9"/>
      <c r="K43" s="9"/>
      <c r="L43" s="9"/>
      <c r="M43" s="9"/>
      <c r="N43" s="9"/>
    </row>
    <row r="44" ht="15" customHeight="1" spans="1:14" x14ac:dyDescent="0.25">
      <c r="A44" s="9"/>
      <c r="B44" s="9"/>
      <c r="C44" s="9"/>
      <c r="D44" s="9"/>
      <c r="E44" s="9"/>
      <c r="F44" s="9"/>
      <c r="G44" s="9"/>
      <c r="H44" s="9"/>
      <c r="I44" s="9"/>
      <c r="J44" s="9"/>
      <c r="K44" s="9"/>
      <c r="L44" s="9"/>
      <c r="M44" s="9"/>
      <c r="N44" s="9"/>
    </row>
    <row r="45" ht="15" customHeight="1" spans="1:14" x14ac:dyDescent="0.25">
      <c r="A45" s="9"/>
      <c r="B45" s="9"/>
      <c r="C45" s="9"/>
      <c r="D45" s="9"/>
      <c r="E45" s="9"/>
      <c r="F45" s="9"/>
      <c r="G45" s="9"/>
      <c r="H45" s="9"/>
      <c r="I45" s="9"/>
      <c r="J45" s="9"/>
      <c r="K45" s="9"/>
      <c r="L45" s="9"/>
      <c r="M45" s="9"/>
      <c r="N45" s="9"/>
    </row>
    <row r="46" ht="15" customHeight="1" spans="1:14" x14ac:dyDescent="0.25">
      <c r="A46" s="9"/>
      <c r="B46" s="9"/>
      <c r="C46" s="9"/>
      <c r="D46" s="9"/>
      <c r="E46" s="9"/>
      <c r="F46" s="9"/>
      <c r="G46" s="9"/>
      <c r="H46" s="9"/>
      <c r="I46" s="9"/>
      <c r="J46" s="9"/>
      <c r="K46" s="9"/>
      <c r="L46" s="9"/>
      <c r="M46" s="9"/>
      <c r="N46" s="9"/>
    </row>
    <row r="47" ht="15" customHeight="1" spans="1:14" x14ac:dyDescent="0.25">
      <c r="A47" s="9"/>
      <c r="B47" s="9"/>
      <c r="C47" s="9"/>
      <c r="D47" s="9"/>
      <c r="E47" s="9"/>
      <c r="F47" s="9"/>
      <c r="G47" s="9"/>
      <c r="H47" s="9"/>
      <c r="I47" s="9"/>
      <c r="J47" s="9"/>
      <c r="K47" s="9"/>
      <c r="L47" s="9"/>
      <c r="M47" s="9"/>
      <c r="N47" s="9"/>
    </row>
    <row r="48" ht="15" customHeight="1" spans="1:14" x14ac:dyDescent="0.25">
      <c r="A48" s="9"/>
      <c r="B48" s="9"/>
      <c r="C48" s="9"/>
      <c r="D48" s="9"/>
      <c r="E48" s="9"/>
      <c r="F48" s="9"/>
      <c r="G48" s="9"/>
      <c r="H48" s="9"/>
      <c r="I48" s="9"/>
      <c r="J48" s="9"/>
      <c r="K48" s="9"/>
      <c r="L48" s="9"/>
      <c r="M48" s="9"/>
      <c r="N48" s="9"/>
    </row>
    <row r="49" ht="15" customHeight="1" spans="1:14" x14ac:dyDescent="0.25">
      <c r="A49" s="9"/>
      <c r="B49" s="9"/>
      <c r="C49" s="9"/>
      <c r="D49" s="9"/>
      <c r="E49" s="9"/>
      <c r="F49" s="9"/>
      <c r="G49" s="9"/>
      <c r="H49" s="9"/>
      <c r="I49" s="9"/>
      <c r="J49" s="9"/>
      <c r="K49" s="9"/>
      <c r="L49" s="9"/>
      <c r="M49" s="9"/>
      <c r="N49" s="9"/>
    </row>
    <row r="50" ht="15" customHeight="1" spans="1:14" x14ac:dyDescent="0.25">
      <c r="A50" s="9"/>
      <c r="B50" s="9"/>
      <c r="C50" s="9"/>
      <c r="D50" s="9"/>
      <c r="E50" s="9"/>
      <c r="F50" s="9"/>
      <c r="G50" s="9"/>
      <c r="H50" s="9"/>
      <c r="I50" s="9"/>
      <c r="J50" s="9"/>
      <c r="K50" s="9"/>
      <c r="L50" s="9"/>
      <c r="M50" s="9"/>
      <c r="N50" s="9"/>
    </row>
    <row r="51" ht="15" customHeight="1" spans="1:14" x14ac:dyDescent="0.25">
      <c r="A51" s="9"/>
      <c r="B51" s="9"/>
      <c r="C51" s="9"/>
      <c r="D51" s="9"/>
      <c r="E51" s="9"/>
      <c r="F51" s="9"/>
      <c r="G51" s="9"/>
      <c r="H51" s="9"/>
      <c r="I51" s="9"/>
      <c r="J51" s="9"/>
      <c r="K51" s="9"/>
      <c r="L51" s="9"/>
      <c r="M51" s="9"/>
      <c r="N51" s="9"/>
    </row>
    <row r="52" ht="15" customHeight="1" spans="1:14" x14ac:dyDescent="0.25">
      <c r="A52" s="9"/>
      <c r="B52" s="9"/>
      <c r="C52" s="9"/>
      <c r="D52" s="9"/>
      <c r="E52" s="9"/>
      <c r="F52" s="9"/>
      <c r="G52" s="9"/>
      <c r="H52" s="9"/>
      <c r="I52" s="9"/>
      <c r="J52" s="9"/>
      <c r="K52" s="9"/>
      <c r="L52" s="9"/>
      <c r="M52" s="9"/>
      <c r="N52" s="9"/>
    </row>
    <row r="53" ht="15" customHeight="1" spans="1:14" x14ac:dyDescent="0.25">
      <c r="A53" s="9"/>
      <c r="B53" s="9"/>
      <c r="C53" s="9"/>
      <c r="D53" s="9"/>
      <c r="E53" s="9"/>
      <c r="F53" s="9"/>
      <c r="G53" s="9"/>
      <c r="H53" s="9"/>
      <c r="I53" s="9"/>
      <c r="J53" s="9"/>
      <c r="K53" s="9"/>
      <c r="L53" s="9"/>
      <c r="M53" s="9"/>
      <c r="N53" s="9"/>
    </row>
  </sheetData>
  <mergeCells count="1">
    <mergeCell ref="A1:N1"/>
  </mergeCells>
  <conditionalFormatting sqref="G4:G53">
    <cfRule type="cellIs" dxfId="12" priority="2" operator="equal">
      <formula>"S1"</formula>
    </cfRule>
    <cfRule type="cellIs" dxfId="13" priority="3" operator="equal">
      <formula>"S2"</formula>
    </cfRule>
  </conditionalFormatting>
  <conditionalFormatting sqref="I4:I53">
    <cfRule type="cellIs" dxfId="14" priority="4" operator="equal">
      <formula>"Open"</formula>
    </cfRule>
    <cfRule type="cellIs" dxfId="15" priority="5" operator="equal">
      <formula>"Closed-Pass"</formula>
    </cfRule>
    <cfRule type="cellIs" dxfId="16" priority="6" operator="equal">
      <formula>"In Progress"</formula>
    </cfRule>
  </conditionalFormatting>
  <dataValidations count="12">
    <dataValidation type="list" allowBlank="1" errorStyle="stop" sqref="E10:E53">
      <formula1>"Dev,Staging,Prod"</formula1>
      <formula2>0</formula2>
    </dataValidation>
    <dataValidation type="list" allowBlank="1" errorStyle="stop" sqref="E4:E53">
      <formula1>"Dev,Staging,Prod"</formula1>
      <formula2>0</formula2>
    </dataValidation>
    <dataValidation type="list" allowBlank="1" errorStyle="stop" sqref="F10:F53">
      <formula1>"Sync,Supabase,App,Auth,RLS,App / RLS,Mixed"</formula1>
      <formula2>0</formula2>
    </dataValidation>
    <dataValidation type="list" allowBlank="1" errorStyle="stop" sqref="F4:F53">
      <formula1>"Sync,Supabase,App,Auth,RLS,App / RLS,Mixed"</formula1>
      <formula2>0</formula2>
    </dataValidation>
    <dataValidation type="list" allowBlank="1" errorStyle="stop" sqref="G10:G53">
      <formula1>"S1,S2,S3,S4"</formula1>
      <formula2>0</formula2>
    </dataValidation>
    <dataValidation type="list" allowBlank="1" errorStyle="stop" sqref="G4:G53">
      <formula1>"S1,S2,S3,S4"</formula1>
      <formula2>0</formula2>
    </dataValidation>
    <dataValidation type="list" allowBlank="1" errorStyle="stop" sqref="H10:H53">
      <formula1>"P0,P1,P2,P3"</formula1>
      <formula2>0</formula2>
    </dataValidation>
    <dataValidation type="list" allowBlank="1" errorStyle="stop" sqref="H4:H53">
      <formula1>"P0,P1,P2,P3"</formula1>
      <formula2>0</formula2>
    </dataValidation>
    <dataValidation type="list" allowBlank="1" errorStyle="stop" sqref="I10:I53">
      <formula1>"Open,Triaged,In Progress,Ready to Re-test,Closed-Pass,Closed-Wont Fix,Closed-Duplicate"</formula1>
      <formula2>0</formula2>
    </dataValidation>
    <dataValidation type="list" allowBlank="1" errorStyle="stop" sqref="I4:I53">
      <formula1>"Open,Triaged,In Progress,Ready to Re-test,Closed-Pass,Closed-Wont Fix,Closed-Duplicate"</formula1>
      <formula2>0</formula2>
    </dataValidation>
    <dataValidation type="list" allowBlank="1" errorStyle="stop" sqref="N10:N53">
      <formula1>"Not Re-tested,Pass,Fail-again"</formula1>
      <formula2>0</formula2>
    </dataValidation>
    <dataValidation type="list" allowBlank="1" errorStyle="stop" sqref="N4:N53">
      <formula1>"Not Re-tested,Pass,Fail-again"</formula1>
      <formula2>0</formula2>
    </dataValidation>
  </dataValidation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0"/>
  <sheetViews>
    <sheetView workbookViewId="0" zoomScale="100" zoomScaleNormal="100" view="normal">
      <selection activeCell="A1" sqref="A1"/>
    </sheetView>
  </sheetViews>
  <sheetFormatPr defaultRowHeight="15" outlineLevelRow="0" outlineLevelCol="0" x14ac:dyDescent="0" defaultColWidth="8.6796875"/>
  <cols>
    <col min="1" max="1" width="42" style="1" customWidth="1"/>
    <col min="2" max="2" width="16" style="1" customWidth="1"/>
    <col min="3" max="3" width="14" style="1" customWidth="1"/>
    <col min="4" max="4" width="10" style="1" customWidth="1"/>
  </cols>
  <sheetData>
    <row r="1" ht="19.5" customHeight="1" spans="1:4" x14ac:dyDescent="0.25">
      <c r="A1" s="2" t="s">
        <v>704</v>
      </c>
      <c r="B1" s="1"/>
      <c r="C1" s="1"/>
      <c r="D1" s="1"/>
    </row>
    <row r="2" spans="1:3" x14ac:dyDescent="0.25">
      <c r="A2" s="1" t="s">
        <v>284</v>
      </c>
      <c r="B2" s="1" t="s">
        <v>249</v>
      </c>
      <c r="C2" s="1" t="s">
        <v>705</v>
      </c>
    </row>
    <row r="3" ht="15" customHeight="1" spans="1:2" x14ac:dyDescent="0.25">
      <c r="A3" s="1" t="s">
        <v>706</v>
      </c>
      <c r="B3" s="1" t="s">
        <v>707</v>
      </c>
    </row>
    <row r="4" ht="15" customHeight="1" spans="1:2" x14ac:dyDescent="0.25">
      <c r="A4" s="1" t="s">
        <v>708</v>
      </c>
      <c r="B4" s="1" t="s">
        <v>709</v>
      </c>
    </row>
    <row r="5" ht="15" customHeight="1" spans="1:2" x14ac:dyDescent="0.25">
      <c r="A5" s="1" t="s">
        <v>710</v>
      </c>
      <c r="B5" s="1" t="s">
        <v>711</v>
      </c>
    </row>
    <row r="7" ht="15" customHeight="1" spans="1:1" x14ac:dyDescent="0.25">
      <c r="A7" s="4" t="s">
        <v>712</v>
      </c>
    </row>
    <row r="8" ht="15" customHeight="1" spans="1:4" x14ac:dyDescent="0.25">
      <c r="A8" s="5" t="s">
        <v>713</v>
      </c>
      <c r="B8" s="5" t="s">
        <v>714</v>
      </c>
      <c r="C8" s="5" t="s">
        <v>715</v>
      </c>
      <c r="D8" s="5" t="s">
        <v>716</v>
      </c>
    </row>
    <row r="9" ht="15" customHeight="1" spans="1:4" x14ac:dyDescent="0.25">
      <c r="A9" s="6" t="s">
        <v>717</v>
      </c>
      <c r="B9" s="6">
        <f>COUNTIFS('Test Cases'!H4:H1000,"P0",'Test Cases'!J4:J1000,"Pass")</f>
      </c>
      <c r="C9" s="6">
        <f>COUNTIF('Test Cases'!H4:H1000,"P0")</f>
      </c>
      <c r="D9" s="6">
        <f>IF(B9&gt;=C9,"YES","NO")</f>
      </c>
    </row>
    <row r="10" ht="15" customHeight="1" spans="1:4" x14ac:dyDescent="0.25">
      <c r="A10" s="6" t="s">
        <v>718</v>
      </c>
      <c r="B10" s="6">
        <f>COUNTIFS('Test Cases'!H4:H1000,"P1",'Test Cases'!J4:J1000,"Pass")</f>
      </c>
      <c r="C10" s="6">
        <f>COUNTIF('Test Cases'!H4:H1000,"P1")</f>
      </c>
      <c r="D10" s="6">
        <f>IF(B10&gt;=C10,"YES","NO")</f>
      </c>
    </row>
    <row r="11" ht="15" customHeight="1" spans="1:4" x14ac:dyDescent="0.25">
      <c r="A11" s="6" t="s">
        <v>719</v>
      </c>
      <c r="B11" s="6">
        <f>COUNTIFS(Defects!G4:G1000,"S1",Defects!I4:I1000,"&lt;&gt;Closed-Pass",Defects!I4:I1000,"&lt;&gt;Closed-Won't Fix",Defects!I4:I1000,"&lt;&gt;Closed-Duplicate")</f>
      </c>
      <c r="C11" s="6">
        <v>0</v>
      </c>
      <c r="D11" s="6">
        <f>IF(B11&lt;=C11,"YES","NO")</f>
      </c>
    </row>
    <row r="12" ht="15" customHeight="1" spans="1:4" x14ac:dyDescent="0.25">
      <c r="A12" s="6" t="s">
        <v>720</v>
      </c>
      <c r="B12" s="6">
        <f>COUNTIFS(Defects!G4:G1000,"S2",Defects!I4:I1000,"&lt;&gt;Closed-Pass",Defects!I4:I1000,"&lt;&gt;Closed-Won't Fix",Defects!I4:I1000,"&lt;&gt;Closed-Duplicate")</f>
      </c>
      <c r="C12" s="6">
        <v>0</v>
      </c>
      <c r="D12" s="6">
        <f>IF(B12&lt;=C12,"YES","NO")</f>
      </c>
    </row>
    <row r="13" ht="15" customHeight="1" spans="1:4" x14ac:dyDescent="0.25">
      <c r="A13" s="6" t="s">
        <v>721</v>
      </c>
      <c r="B13" s="6">
        <f>COUNTIF('Daily UAT'!E22:K22,1)</f>
      </c>
      <c r="C13" s="6">
        <v>3</v>
      </c>
      <c r="D13" s="6">
        <f>IF(B13&gt;=C13,"YES","NO")</f>
      </c>
    </row>
    <row r="15" ht="15" customHeight="1" spans="1:1" x14ac:dyDescent="0.25">
      <c r="A15" s="4" t="s">
        <v>722</v>
      </c>
    </row>
    <row r="16" ht="15" customHeight="1" spans="1:3" x14ac:dyDescent="0.25">
      <c r="A16" s="5" t="s">
        <v>723</v>
      </c>
      <c r="B16" s="5" t="s">
        <v>724</v>
      </c>
      <c r="C16" s="5" t="s">
        <v>239</v>
      </c>
    </row>
    <row r="17" ht="15" customHeight="1" spans="1:3" x14ac:dyDescent="0.25">
      <c r="A17" s="6" t="s">
        <v>725</v>
      </c>
      <c r="B17" s="6"/>
      <c r="C17" s="6"/>
    </row>
    <row r="18" ht="15" customHeight="1" spans="1:3" x14ac:dyDescent="0.25">
      <c r="A18" s="6" t="s">
        <v>726</v>
      </c>
      <c r="B18" s="6"/>
      <c r="C18" s="6"/>
    </row>
    <row r="19" ht="15" customHeight="1" spans="1:3" x14ac:dyDescent="0.25">
      <c r="A19" s="6" t="s">
        <v>727</v>
      </c>
      <c r="B19" s="6"/>
      <c r="C19" s="6"/>
    </row>
    <row r="20" ht="15" customHeight="1" spans="1:3" x14ac:dyDescent="0.25">
      <c r="A20" s="6" t="s">
        <v>728</v>
      </c>
      <c r="B20" s="6"/>
      <c r="C20" s="6"/>
    </row>
  </sheetData>
  <mergeCells count="1">
    <mergeCell ref="A1:D1"/>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0"/>
  <sheetViews>
    <sheetView workbookViewId="0" zoomScale="100" zoomScaleNormal="100">
      <selection activeCell="A1" sqref="A1"/>
    </sheetView>
  </sheetViews>
  <sheetFormatPr defaultRowHeight="15" outlineLevelRow="0" outlineLevelCol="0" x14ac:dyDescent="0"/>
  <cols>
    <col min="1" max="1" width="22" customWidth="1"/>
    <col min="2" max="3" width="36" customWidth="1"/>
    <col min="4" max="4" width="22" customWidth="1"/>
    <col min="5" max="5" width="50" customWidth="1"/>
    <col min="6" max="6" width="38" customWidth="1"/>
    <col min="7" max="7" width="50" customWidth="1"/>
    <col min="8" max="8" width="24" customWidth="1"/>
  </cols>
  <sheetData>
    <row r="1" spans="1:8" s="14" customFormat="1" x14ac:dyDescent="0.25">
      <c r="A1" s="15" t="s">
        <v>729</v>
      </c>
      <c r="B1" s="15" t="s">
        <v>730</v>
      </c>
      <c r="C1" s="15" t="s">
        <v>731</v>
      </c>
      <c r="D1" s="15" t="s">
        <v>732</v>
      </c>
      <c r="E1" s="15" t="s">
        <v>733</v>
      </c>
      <c r="F1" s="15" t="s">
        <v>734</v>
      </c>
      <c r="G1" s="15" t="s">
        <v>735</v>
      </c>
      <c r="H1" s="15" t="s">
        <v>736</v>
      </c>
    </row>
    <row r="2" spans="1:8" x14ac:dyDescent="0.25">
      <c r="A2" s="16" t="s">
        <v>737</v>
      </c>
      <c r="B2" s="16" t="s">
        <v>738</v>
      </c>
      <c r="C2" s="16" t="s">
        <v>739</v>
      </c>
      <c r="D2" s="16" t="s">
        <v>740</v>
      </c>
      <c r="E2" s="16" t="s">
        <v>741</v>
      </c>
      <c r="F2" s="16" t="s">
        <v>742</v>
      </c>
      <c r="G2" s="16" t="s">
        <v>743</v>
      </c>
      <c r="H2" s="16" t="s">
        <v>674</v>
      </c>
    </row>
    <row r="3" spans="1:8" x14ac:dyDescent="0.25">
      <c r="A3" s="16" t="s">
        <v>744</v>
      </c>
      <c r="B3" s="16" t="s">
        <v>745</v>
      </c>
      <c r="C3" s="16" t="s">
        <v>746</v>
      </c>
      <c r="D3" s="16" t="s">
        <v>747</v>
      </c>
      <c r="E3" s="16" t="s">
        <v>748</v>
      </c>
      <c r="F3" s="16" t="s">
        <v>749</v>
      </c>
      <c r="G3" s="16" t="s">
        <v>750</v>
      </c>
      <c r="H3" s="16" t="s">
        <v>674</v>
      </c>
    </row>
    <row r="4" spans="1:8" x14ac:dyDescent="0.25">
      <c r="A4" s="16" t="s">
        <v>751</v>
      </c>
      <c r="B4" s="16" t="s">
        <v>752</v>
      </c>
      <c r="C4" s="16" t="s">
        <v>753</v>
      </c>
      <c r="D4" s="16" t="s">
        <v>754</v>
      </c>
      <c r="E4" s="16" t="s">
        <v>755</v>
      </c>
      <c r="F4" s="16" t="s">
        <v>756</v>
      </c>
      <c r="G4" s="16" t="s">
        <v>757</v>
      </c>
      <c r="H4" s="16" t="s">
        <v>758</v>
      </c>
    </row>
    <row r="5" spans="1:8" x14ac:dyDescent="0.25">
      <c r="A5" s="16" t="s">
        <v>759</v>
      </c>
      <c r="B5" s="16" t="s">
        <v>760</v>
      </c>
      <c r="C5" s="16" t="s">
        <v>761</v>
      </c>
      <c r="D5" s="16" t="s">
        <v>762</v>
      </c>
      <c r="E5" s="16" t="s">
        <v>763</v>
      </c>
      <c r="F5" s="16" t="s">
        <v>764</v>
      </c>
      <c r="G5" s="16" t="s">
        <v>765</v>
      </c>
      <c r="H5" s="16" t="s">
        <v>523</v>
      </c>
    </row>
    <row r="7" spans="1:1" s="14" customFormat="1" x14ac:dyDescent="0.25">
      <c r="A7" s="14" t="s">
        <v>766</v>
      </c>
    </row>
    <row r="8" spans="1:1" x14ac:dyDescent="0.25">
      <c r="A8" t="s">
        <v>767</v>
      </c>
    </row>
    <row r="9" spans="1:1" x14ac:dyDescent="0.25">
      <c r="A9" t="s">
        <v>768</v>
      </c>
    </row>
    <row r="10" spans="1:1" x14ac:dyDescent="0.25">
      <c r="A10" t="s">
        <v>769</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2"/>
  <sheetViews>
    <sheetView workbookViewId="0" zoomScale="100" zoomScaleNormal="100">
      <pane ySplit="5" topLeftCell="A6" activePane="bottomLeft" state="frozen"/>
      <selection pane="bottomLeft" activeCell="A1" sqref="A1"/>
    </sheetView>
  </sheetViews>
  <sheetFormatPr defaultRowHeight="15" outlineLevelRow="0" outlineLevelCol="0" x14ac:dyDescent="0"/>
  <cols>
    <col min="1" max="1" width="14" customWidth="1"/>
    <col min="2" max="2" width="38" customWidth="1"/>
    <col min="3" max="3" width="10" customWidth="1"/>
    <col min="4" max="4" width="56" customWidth="1"/>
    <col min="5" max="5" width="70" customWidth="1"/>
    <col min="6" max="6" width="13" customWidth="1"/>
    <col min="8" max="8" width="12" customWidth="1"/>
    <col min="9" max="9" width="8" customWidth="1"/>
  </cols>
  <sheetData>
    <row r="1" spans="1:6" x14ac:dyDescent="0.25">
      <c r="A1" s="17" t="s">
        <v>770</v>
      </c>
      <c r="B1"/>
      <c r="C1"/>
      <c r="D1"/>
      <c r="E1"/>
      <c r="F1"/>
    </row>
    <row r="2" ht="32" customHeight="1" spans="1:6" x14ac:dyDescent="0.25">
      <c r="A2" s="18" t="s">
        <v>771</v>
      </c>
      <c r="B2"/>
      <c r="C2"/>
      <c r="D2"/>
      <c r="E2"/>
      <c r="F2"/>
    </row>
    <row r="3" spans="1:6" x14ac:dyDescent="0.25">
      <c r="A3" s="19" t="s">
        <v>772</v>
      </c>
      <c r="B3"/>
      <c r="C3"/>
      <c r="D3"/>
      <c r="E3"/>
      <c r="F3"/>
    </row>
    <row r="5" ht="22" customHeight="1" spans="1:8" x14ac:dyDescent="0.25">
      <c r="A5" s="20" t="s">
        <v>773</v>
      </c>
      <c r="B5" s="20" t="s">
        <v>774</v>
      </c>
      <c r="C5" s="20" t="s">
        <v>146</v>
      </c>
      <c r="D5" s="20" t="s">
        <v>59</v>
      </c>
      <c r="E5" s="20" t="s">
        <v>775</v>
      </c>
      <c r="F5" s="20" t="s">
        <v>776</v>
      </c>
      <c r="H5" s="21" t="s">
        <v>777</v>
      </c>
    </row>
    <row r="6" ht="90" customHeight="1" spans="1:9" x14ac:dyDescent="0.25">
      <c r="A6" s="22" t="s">
        <v>778</v>
      </c>
      <c r="B6" s="22" t="s">
        <v>779</v>
      </c>
      <c r="C6" s="23" t="s">
        <v>44</v>
      </c>
      <c r="D6" s="22" t="s">
        <v>780</v>
      </c>
      <c r="E6" s="22" t="s">
        <v>781</v>
      </c>
      <c r="F6" s="22" t="s">
        <v>782</v>
      </c>
      <c r="H6" s="24" t="s">
        <v>783</v>
      </c>
      <c r="I6" s="25">
        <f>COUNTA(B6:B32)</f>
      </c>
    </row>
    <row r="7" ht="90" customHeight="1" spans="1:9" x14ac:dyDescent="0.25">
      <c r="A7" s="26" t="s">
        <v>778</v>
      </c>
      <c r="B7" s="26" t="s">
        <v>784</v>
      </c>
      <c r="C7" s="23" t="s">
        <v>44</v>
      </c>
      <c r="D7" s="26" t="s">
        <v>785</v>
      </c>
      <c r="E7" s="26" t="s">
        <v>786</v>
      </c>
      <c r="F7" s="26" t="s">
        <v>782</v>
      </c>
      <c r="H7" s="24" t="s">
        <v>44</v>
      </c>
      <c r="I7" s="25">
        <f>COUNTIF(C6:C32,"Pass")</f>
      </c>
    </row>
    <row r="8" ht="90" customHeight="1" spans="1:9" x14ac:dyDescent="0.25">
      <c r="A8" s="22" t="s">
        <v>778</v>
      </c>
      <c r="B8" s="22" t="s">
        <v>787</v>
      </c>
      <c r="C8" s="27" t="s">
        <v>44</v>
      </c>
      <c r="D8" s="22" t="s">
        <v>788</v>
      </c>
      <c r="E8" s="22" t="s">
        <v>789</v>
      </c>
      <c r="F8" s="22" t="s">
        <v>782</v>
      </c>
      <c r="H8" s="24" t="s">
        <v>790</v>
      </c>
      <c r="I8" s="25">
        <f>COUNTIF(C6:C32,"Partial")</f>
      </c>
    </row>
    <row r="9" ht="90" customHeight="1" spans="1:9" x14ac:dyDescent="0.25">
      <c r="A9" s="26" t="s">
        <v>778</v>
      </c>
      <c r="B9" s="26" t="s">
        <v>791</v>
      </c>
      <c r="C9" s="28" t="s">
        <v>44</v>
      </c>
      <c r="D9" s="26" t="s">
        <v>792</v>
      </c>
      <c r="E9" s="26" t="s">
        <v>793</v>
      </c>
      <c r="F9" s="26" t="s">
        <v>782</v>
      </c>
      <c r="H9" s="24" t="s">
        <v>45</v>
      </c>
      <c r="I9" s="25">
        <f>COUNTIF(C6:C32,"Fail")</f>
      </c>
    </row>
    <row r="10" ht="90" customHeight="1" spans="1:6" x14ac:dyDescent="0.25">
      <c r="A10" s="22" t="s">
        <v>778</v>
      </c>
      <c r="B10" s="22" t="s">
        <v>794</v>
      </c>
      <c r="C10" s="23" t="s">
        <v>44</v>
      </c>
      <c r="D10" s="22" t="s">
        <v>795</v>
      </c>
      <c r="E10" s="22" t="s">
        <v>796</v>
      </c>
      <c r="F10" s="22" t="s">
        <v>782</v>
      </c>
    </row>
    <row r="11" ht="90" customHeight="1" spans="1:6" x14ac:dyDescent="0.25">
      <c r="A11" s="26" t="s">
        <v>797</v>
      </c>
      <c r="B11" s="26" t="s">
        <v>798</v>
      </c>
      <c r="C11" s="23" t="s">
        <v>44</v>
      </c>
      <c r="D11" s="26" t="s">
        <v>799</v>
      </c>
      <c r="E11" s="26" t="s">
        <v>800</v>
      </c>
      <c r="F11" s="26" t="s">
        <v>782</v>
      </c>
    </row>
    <row r="12" ht="90" customHeight="1" spans="1:6" x14ac:dyDescent="0.25">
      <c r="A12" s="22" t="s">
        <v>797</v>
      </c>
      <c r="B12" s="22" t="s">
        <v>801</v>
      </c>
      <c r="C12" s="23" t="s">
        <v>44</v>
      </c>
      <c r="D12" s="22" t="s">
        <v>802</v>
      </c>
      <c r="E12" s="22" t="s">
        <v>803</v>
      </c>
      <c r="F12" s="22" t="s">
        <v>782</v>
      </c>
    </row>
    <row r="13" ht="90" customHeight="1" spans="1:6" x14ac:dyDescent="0.25">
      <c r="A13" s="26" t="s">
        <v>804</v>
      </c>
      <c r="B13" s="26" t="s">
        <v>805</v>
      </c>
      <c r="C13" s="23" t="s">
        <v>44</v>
      </c>
      <c r="D13" s="26" t="s">
        <v>806</v>
      </c>
      <c r="E13" s="26" t="s">
        <v>807</v>
      </c>
      <c r="F13" s="26" t="s">
        <v>782</v>
      </c>
    </row>
    <row r="14" ht="90" customHeight="1" spans="1:6" x14ac:dyDescent="0.25">
      <c r="A14" s="22" t="s">
        <v>804</v>
      </c>
      <c r="B14" s="22" t="s">
        <v>808</v>
      </c>
      <c r="C14" s="23" t="s">
        <v>44</v>
      </c>
      <c r="D14" s="22" t="s">
        <v>809</v>
      </c>
      <c r="E14" s="22" t="s">
        <v>810</v>
      </c>
      <c r="F14" s="22" t="s">
        <v>782</v>
      </c>
    </row>
    <row r="15" ht="90" customHeight="1" spans="1:6" x14ac:dyDescent="0.25">
      <c r="A15" s="26" t="s">
        <v>804</v>
      </c>
      <c r="B15" s="26" t="s">
        <v>811</v>
      </c>
      <c r="C15" s="23" t="s">
        <v>44</v>
      </c>
      <c r="D15" s="26" t="s">
        <v>812</v>
      </c>
      <c r="E15" s="26" t="s">
        <v>813</v>
      </c>
      <c r="F15" s="26" t="s">
        <v>782</v>
      </c>
    </row>
    <row r="16" ht="90" customHeight="1" spans="1:6" x14ac:dyDescent="0.25">
      <c r="A16" s="22" t="s">
        <v>804</v>
      </c>
      <c r="B16" s="22" t="s">
        <v>814</v>
      </c>
      <c r="C16" s="27" t="s">
        <v>790</v>
      </c>
      <c r="D16" s="22" t="s">
        <v>815</v>
      </c>
      <c r="E16" s="22" t="s">
        <v>816</v>
      </c>
      <c r="F16" s="22" t="s">
        <v>782</v>
      </c>
    </row>
    <row r="17" ht="90" customHeight="1" spans="1:6" x14ac:dyDescent="0.25">
      <c r="A17" s="26" t="s">
        <v>817</v>
      </c>
      <c r="B17" s="26" t="s">
        <v>818</v>
      </c>
      <c r="C17" s="23" t="s">
        <v>44</v>
      </c>
      <c r="D17" s="26" t="s">
        <v>819</v>
      </c>
      <c r="E17" s="26" t="s">
        <v>820</v>
      </c>
      <c r="F17" s="26" t="s">
        <v>782</v>
      </c>
    </row>
    <row r="18" ht="90" customHeight="1" spans="1:6" x14ac:dyDescent="0.25">
      <c r="A18" s="22" t="s">
        <v>821</v>
      </c>
      <c r="B18" s="22" t="s">
        <v>822</v>
      </c>
      <c r="C18" s="27" t="s">
        <v>44</v>
      </c>
      <c r="D18" s="22" t="s">
        <v>823</v>
      </c>
      <c r="E18" s="22" t="s">
        <v>824</v>
      </c>
      <c r="F18" s="22" t="s">
        <v>782</v>
      </c>
    </row>
    <row r="19" ht="90" customHeight="1" spans="1:6" x14ac:dyDescent="0.25">
      <c r="A19" s="26" t="s">
        <v>825</v>
      </c>
      <c r="B19" s="26" t="s">
        <v>826</v>
      </c>
      <c r="C19" s="27" t="s">
        <v>790</v>
      </c>
      <c r="D19" s="26" t="s">
        <v>827</v>
      </c>
      <c r="E19" s="26" t="s">
        <v>828</v>
      </c>
      <c r="F19" s="26" t="s">
        <v>782</v>
      </c>
    </row>
    <row r="20" ht="90" customHeight="1" spans="1:6" x14ac:dyDescent="0.25">
      <c r="A20" s="22" t="s">
        <v>829</v>
      </c>
      <c r="B20" s="22" t="s">
        <v>830</v>
      </c>
      <c r="C20" s="23" t="s">
        <v>44</v>
      </c>
      <c r="D20" s="22" t="s">
        <v>831</v>
      </c>
      <c r="E20" s="22" t="s">
        <v>832</v>
      </c>
      <c r="F20" s="22" t="s">
        <v>782</v>
      </c>
    </row>
    <row r="21" ht="90" customHeight="1" spans="1:6" x14ac:dyDescent="0.25">
      <c r="A21" s="26" t="s">
        <v>833</v>
      </c>
      <c r="B21" s="26" t="s">
        <v>834</v>
      </c>
      <c r="C21" s="23" t="s">
        <v>44</v>
      </c>
      <c r="D21" s="26" t="s">
        <v>835</v>
      </c>
      <c r="E21" s="26" t="s">
        <v>836</v>
      </c>
      <c r="F21" s="26" t="s">
        <v>782</v>
      </c>
    </row>
    <row r="22" ht="90" customHeight="1" spans="1:6" x14ac:dyDescent="0.25">
      <c r="A22" s="22" t="s">
        <v>837</v>
      </c>
      <c r="B22" s="22" t="s">
        <v>838</v>
      </c>
      <c r="C22" s="23" t="s">
        <v>44</v>
      </c>
      <c r="D22" s="22" t="s">
        <v>839</v>
      </c>
      <c r="E22" s="22" t="s">
        <v>840</v>
      </c>
      <c r="F22" s="22" t="s">
        <v>782</v>
      </c>
    </row>
    <row r="23" ht="90" customHeight="1" spans="1:6" x14ac:dyDescent="0.25">
      <c r="A23" s="26" t="s">
        <v>837</v>
      </c>
      <c r="B23" s="26" t="s">
        <v>841</v>
      </c>
      <c r="C23" s="27" t="s">
        <v>790</v>
      </c>
      <c r="D23" s="26" t="s">
        <v>842</v>
      </c>
      <c r="E23" s="26" t="s">
        <v>843</v>
      </c>
      <c r="F23" s="26" t="s">
        <v>782</v>
      </c>
    </row>
    <row r="24" ht="90" customHeight="1" spans="1:6" x14ac:dyDescent="0.25">
      <c r="A24" s="22" t="s">
        <v>837</v>
      </c>
      <c r="B24" s="22" t="s">
        <v>844</v>
      </c>
      <c r="C24" s="23" t="s">
        <v>44</v>
      </c>
      <c r="D24" s="22" t="s">
        <v>845</v>
      </c>
      <c r="E24" s="22" t="s">
        <v>846</v>
      </c>
      <c r="F24" s="22" t="s">
        <v>782</v>
      </c>
    </row>
    <row r="25" ht="90" customHeight="1" spans="1:6" x14ac:dyDescent="0.25">
      <c r="A25" s="26" t="s">
        <v>837</v>
      </c>
      <c r="B25" s="26" t="s">
        <v>847</v>
      </c>
      <c r="C25" s="28" t="s">
        <v>44</v>
      </c>
      <c r="D25" s="26" t="s">
        <v>848</v>
      </c>
      <c r="E25" s="26" t="s">
        <v>849</v>
      </c>
      <c r="F25" s="26" t="s">
        <v>782</v>
      </c>
    </row>
    <row r="26" ht="90" customHeight="1" spans="1:6" x14ac:dyDescent="0.25">
      <c r="A26" s="22" t="s">
        <v>850</v>
      </c>
      <c r="B26" s="22" t="s">
        <v>851</v>
      </c>
      <c r="C26" s="23" t="s">
        <v>44</v>
      </c>
      <c r="D26" s="22" t="s">
        <v>852</v>
      </c>
      <c r="E26" s="22" t="s">
        <v>853</v>
      </c>
      <c r="F26" s="22" t="s">
        <v>782</v>
      </c>
    </row>
    <row r="27" ht="90" customHeight="1" spans="1:6" x14ac:dyDescent="0.25">
      <c r="A27" s="26" t="s">
        <v>850</v>
      </c>
      <c r="B27" s="26" t="s">
        <v>854</v>
      </c>
      <c r="C27" s="23" t="s">
        <v>44</v>
      </c>
      <c r="D27" s="26" t="s">
        <v>855</v>
      </c>
      <c r="E27" s="26" t="s">
        <v>856</v>
      </c>
      <c r="F27" s="26" t="s">
        <v>782</v>
      </c>
    </row>
    <row r="28" ht="90" customHeight="1" spans="1:6" x14ac:dyDescent="0.25">
      <c r="A28" s="22" t="s">
        <v>850</v>
      </c>
      <c r="B28" s="22" t="s">
        <v>857</v>
      </c>
      <c r="C28" s="23" t="s">
        <v>44</v>
      </c>
      <c r="D28" s="22" t="s">
        <v>858</v>
      </c>
      <c r="E28" s="22" t="s">
        <v>859</v>
      </c>
      <c r="F28" s="22" t="s">
        <v>782</v>
      </c>
    </row>
    <row r="29" ht="90" customHeight="1" spans="1:6" x14ac:dyDescent="0.25">
      <c r="A29" s="26" t="s">
        <v>860</v>
      </c>
      <c r="B29" s="26" t="s">
        <v>861</v>
      </c>
      <c r="C29" s="27" t="s">
        <v>44</v>
      </c>
      <c r="D29" s="26" t="s">
        <v>862</v>
      </c>
      <c r="E29" s="26" t="s">
        <v>863</v>
      </c>
      <c r="F29" s="26" t="s">
        <v>782</v>
      </c>
    </row>
    <row r="30" ht="90" customHeight="1" spans="1:6" x14ac:dyDescent="0.25">
      <c r="A30" s="22" t="s">
        <v>864</v>
      </c>
      <c r="B30" s="22" t="s">
        <v>865</v>
      </c>
      <c r="C30" s="23" t="s">
        <v>44</v>
      </c>
      <c r="D30" s="22" t="s">
        <v>866</v>
      </c>
      <c r="E30" s="22" t="s">
        <v>867</v>
      </c>
      <c r="F30" s="22" t="s">
        <v>782</v>
      </c>
    </row>
    <row r="31" ht="90" customHeight="1" spans="1:6" x14ac:dyDescent="0.25">
      <c r="A31" s="26" t="s">
        <v>868</v>
      </c>
      <c r="B31" s="26" t="s">
        <v>869</v>
      </c>
      <c r="C31" s="23" t="s">
        <v>44</v>
      </c>
      <c r="D31" s="26" t="s">
        <v>870</v>
      </c>
      <c r="E31" s="26" t="s">
        <v>871</v>
      </c>
      <c r="F31" s="26" t="s">
        <v>782</v>
      </c>
    </row>
    <row r="32" ht="90" customHeight="1" spans="1:6" x14ac:dyDescent="0.25">
      <c r="A32" s="22" t="s">
        <v>868</v>
      </c>
      <c r="B32" s="22" t="s">
        <v>872</v>
      </c>
      <c r="C32" s="23" t="s">
        <v>44</v>
      </c>
      <c r="D32" s="22" t="s">
        <v>873</v>
      </c>
      <c r="E32" s="22" t="s">
        <v>874</v>
      </c>
      <c r="F32" s="22" t="s">
        <v>782</v>
      </c>
    </row>
  </sheetData>
  <mergeCells count="3">
    <mergeCell ref="A1:F1"/>
    <mergeCell ref="A2:F2"/>
    <mergeCell ref="A3:F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22" customWidth="1"/>
    <col min="3" max="3" width="12" customWidth="1"/>
    <col min="4" max="4" width="90" customWidth="1"/>
  </cols>
  <sheetData>
    <row r="1" spans="1:4" s="29" customFormat="1" x14ac:dyDescent="0.25">
      <c r="A1" s="29" t="s">
        <v>875</v>
      </c>
      <c r="B1" s="29" t="s">
        <v>146</v>
      </c>
      <c r="C1" s="29" t="s">
        <v>657</v>
      </c>
      <c r="D1" s="29" t="s">
        <v>876</v>
      </c>
    </row>
    <row r="2" spans="1:4" s="30" customFormat="1" x14ac:dyDescent="0.25">
      <c r="A2" s="30" t="s">
        <v>877</v>
      </c>
      <c r="B2" s="31" t="s">
        <v>878</v>
      </c>
      <c r="C2" s="30" t="s">
        <v>879</v>
      </c>
      <c r="D2" s="30" t="s">
        <v>880</v>
      </c>
    </row>
    <row r="3" spans="1:4" s="30" customFormat="1" x14ac:dyDescent="0.25">
      <c r="A3" s="30" t="s">
        <v>881</v>
      </c>
      <c r="B3" s="31" t="s">
        <v>878</v>
      </c>
      <c r="C3" s="30" t="s">
        <v>879</v>
      </c>
      <c r="D3" s="30" t="s">
        <v>882</v>
      </c>
    </row>
    <row r="4" spans="1:4" s="30" customFormat="1" x14ac:dyDescent="0.25">
      <c r="A4" s="30" t="s">
        <v>883</v>
      </c>
      <c r="B4" s="31" t="s">
        <v>878</v>
      </c>
      <c r="C4" s="30" t="s">
        <v>879</v>
      </c>
      <c r="D4" s="30" t="s">
        <v>884</v>
      </c>
    </row>
    <row r="5" spans="1:4" s="30" customFormat="1" x14ac:dyDescent="0.25">
      <c r="A5" s="30" t="s">
        <v>885</v>
      </c>
      <c r="B5" s="31" t="s">
        <v>878</v>
      </c>
      <c r="C5" s="30" t="s">
        <v>879</v>
      </c>
      <c r="D5" s="30" t="s">
        <v>886</v>
      </c>
    </row>
    <row r="6" spans="1:4" s="30" customFormat="1" x14ac:dyDescent="0.25">
      <c r="A6" s="30" t="s">
        <v>887</v>
      </c>
      <c r="B6" s="31" t="s">
        <v>878</v>
      </c>
      <c r="C6" s="30" t="s">
        <v>879</v>
      </c>
      <c r="D6" s="30" t="s">
        <v>888</v>
      </c>
    </row>
    <row r="7" spans="1:4" s="30" customFormat="1" x14ac:dyDescent="0.25">
      <c r="A7" s="30" t="s">
        <v>889</v>
      </c>
      <c r="B7" s="31" t="s">
        <v>878</v>
      </c>
      <c r="C7" s="30" t="s">
        <v>879</v>
      </c>
      <c r="D7" s="30" t="s">
        <v>890</v>
      </c>
    </row>
    <row r="8" spans="1:4" s="30" customFormat="1" x14ac:dyDescent="0.25">
      <c r="A8" s="30" t="s">
        <v>891</v>
      </c>
      <c r="B8" s="31" t="s">
        <v>878</v>
      </c>
      <c r="C8" s="30" t="s">
        <v>879</v>
      </c>
      <c r="D8" s="30" t="s">
        <v>892</v>
      </c>
    </row>
    <row r="9" spans="1:4" s="30" customFormat="1" x14ac:dyDescent="0.25">
      <c r="A9" s="30" t="s">
        <v>893</v>
      </c>
      <c r="B9" s="32" t="s">
        <v>894</v>
      </c>
      <c r="C9" s="30" t="s">
        <v>895</v>
      </c>
      <c r="D9" s="30" t="s">
        <v>896</v>
      </c>
    </row>
    <row r="10" spans="1:4" s="30" customFormat="1" x14ac:dyDescent="0.25">
      <c r="A10" s="30" t="s">
        <v>897</v>
      </c>
      <c r="B10" s="32" t="s">
        <v>894</v>
      </c>
      <c r="C10" s="30" t="s">
        <v>895</v>
      </c>
      <c r="D10" s="30" t="s">
        <v>898</v>
      </c>
    </row>
    <row r="11" spans="1:4" s="30" customFormat="1" x14ac:dyDescent="0.25">
      <c r="A11" s="30" t="s">
        <v>899</v>
      </c>
      <c r="B11" s="32" t="s">
        <v>894</v>
      </c>
      <c r="C11" s="30" t="s">
        <v>895</v>
      </c>
      <c r="D11" s="30" t="s">
        <v>900</v>
      </c>
    </row>
    <row r="12" spans="1:4" s="30" customFormat="1" x14ac:dyDescent="0.25">
      <c r="A12" s="30" t="s">
        <v>901</v>
      </c>
      <c r="B12" s="32" t="s">
        <v>894</v>
      </c>
      <c r="C12" s="30" t="s">
        <v>879</v>
      </c>
      <c r="D12" s="30" t="s">
        <v>902</v>
      </c>
    </row>
    <row r="13" spans="1:4" s="30" customFormat="1" x14ac:dyDescent="0.25">
      <c r="A13" s="30" t="s">
        <v>903</v>
      </c>
      <c r="B13" s="32" t="s">
        <v>894</v>
      </c>
      <c r="C13" s="30" t="s">
        <v>904</v>
      </c>
      <c r="D13" s="30" t="s">
        <v>905</v>
      </c>
    </row>
    <row r="14" spans="1:4" s="30" customFormat="1" x14ac:dyDescent="0.25">
      <c r="A14" s="30" t="s">
        <v>906</v>
      </c>
      <c r="B14" s="32" t="s">
        <v>894</v>
      </c>
      <c r="C14" s="30" t="s">
        <v>904</v>
      </c>
      <c r="D14" s="30" t="s">
        <v>907</v>
      </c>
    </row>
    <row r="15" spans="1:4" s="30" customFormat="1" x14ac:dyDescent="0.25">
      <c r="A15" s="30" t="s">
        <v>908</v>
      </c>
      <c r="B15" s="32" t="s">
        <v>894</v>
      </c>
      <c r="C15" s="30" t="s">
        <v>895</v>
      </c>
      <c r="D15" s="30" t="s">
        <v>909</v>
      </c>
    </row>
    <row r="16" spans="1:4" s="30" customFormat="1" x14ac:dyDescent="0.25">
      <c r="A16" s="30" t="s">
        <v>910</v>
      </c>
      <c r="B16" s="32" t="s">
        <v>894</v>
      </c>
      <c r="C16" s="30" t="s">
        <v>895</v>
      </c>
      <c r="D16" s="30" t="s">
        <v>911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Fixture Spec</vt:lpstr>
      <vt:lpstr>Scenarios</vt:lpstr>
      <vt:lpstr>Test Cases</vt:lpstr>
      <vt:lpstr>Daily UAT</vt:lpstr>
      <vt:lpstr>Defects</vt:lpstr>
      <vt:lpstr>Sign-off</vt:lpstr>
      <vt:lpstr>Sync Coverage</vt:lpstr>
      <vt:lpstr>Flutter Feature Audit</vt:lpstr>
      <vt:lpstr>Launch Readiness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en-US</dc:language>
  <cp:lastModifiedBy>Unknown</cp:lastModifiedBy>
  <dcterms:created xsi:type="dcterms:W3CDTF">2026-05-05T15:13:05Z</dcterms:created>
  <dcterms:modified xsi:type="dcterms:W3CDTF">2026-05-12T16:39:37Z</dcterms:modified>
</cp:coreProperties>
</file>