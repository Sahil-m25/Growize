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16384" windowHeight="8192" tabRatio="600" firstSheet="0" activeTab="0" autoFilterDateGrouping="1"/>
  </bookViews>
  <sheets>
    <sheet name="Dashboard" sheetId="1" state="visible" r:id="rId1"/>
    <sheet name="Fixture Spec" sheetId="2" state="visible" r:id="rId2"/>
    <sheet name="Scenarios" sheetId="3" state="visible" r:id="rId3"/>
    <sheet name="Test Cases" sheetId="4" state="visible" r:id="rId4"/>
    <sheet name="Daily UAT" sheetId="5" state="visible" r:id="rId5"/>
    <sheet name="Defects" sheetId="6" state="visible" r:id="rId6"/>
    <sheet name="Sign-off" sheetId="7" state="visible" r:id="rId7"/>
    <sheet name="Sync Coverage" sheetId="8" state="visible" r:id="rId8"/>
    <sheet name="Flutter Feature Audit" sheetId="9" state="visible" r:id="rId9"/>
  </sheets>
  <definedNames/>
  <calcPr calcId="171027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4">
    <font>
      <name val="Calibri"/>
      <family val="2"/>
      <color theme="1"/>
      <sz val="11"/>
      <scheme val="minor"/>
    </font>
    <font>
      <name val="Calibri"/>
      <charset val="1"/>
      <family val="2"/>
      <color theme="1"/>
      <sz val="11"/>
    </font>
    <font>
      <name val="Arial"/>
      <charset val="1"/>
      <b val="1"/>
      <color rgb="FF0F1A15"/>
      <sz val="16"/>
    </font>
    <font>
      <name val="Arial"/>
      <charset val="1"/>
      <sz val="10"/>
    </font>
    <font>
      <name val="Arial"/>
      <charset val="1"/>
      <b val="1"/>
      <color rgb="FF3C5152"/>
      <sz val="12"/>
    </font>
    <font>
      <name val="Arial"/>
      <charset val="1"/>
      <b val="1"/>
      <color rgb="FFFFFFFF"/>
      <sz val="11"/>
    </font>
    <font>
      <name val="Arial"/>
      <charset val="1"/>
      <b val="1"/>
      <sz val="10"/>
    </font>
    <font>
      <b val="1"/>
    </font>
    <font>
      <name val="Arial"/>
      <b val="1"/>
      <color rgb="000F1A15"/>
      <sz val="14"/>
    </font>
    <font>
      <name val="Arial"/>
      <i val="1"/>
      <color rgb="006B7280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sz val="10"/>
    </font>
    <font>
      <name val="Arial"/>
      <b val="1"/>
      <sz val="11"/>
    </font>
  </fonts>
  <fills count="8">
    <fill>
      <patternFill/>
    </fill>
    <fill>
      <patternFill patternType="gray125"/>
    </fill>
    <fill>
      <patternFill patternType="solid">
        <fgColor rgb="FF3C5152"/>
        <bgColor rgb="FF333399"/>
      </patternFill>
    </fill>
    <fill>
      <patternFill patternType="solid">
        <fgColor rgb="003C5152"/>
      </patternFill>
    </fill>
    <fill>
      <patternFill patternType="solid">
        <fgColor rgb="00C8E6C9"/>
      </patternFill>
    </fill>
    <fill>
      <patternFill patternType="solid">
        <fgColor rgb="00FAFAF7"/>
      </patternFill>
    </fill>
    <fill>
      <patternFill patternType="solid">
        <fgColor rgb="00FFE0B2"/>
      </patternFill>
    </fill>
    <fill>
      <patternFill patternType="solid">
        <fgColor rgb="00FFCDD2"/>
      </patternFill>
    </fill>
  </fills>
  <borders count="3">
    <border>
      <left/>
      <right/>
      <top/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>
      <left style="thin">
        <color rgb="00C0C0C0"/>
      </left>
      <right style="thin">
        <color rgb="00C0C0C0"/>
      </right>
      <top style="thin">
        <color rgb="00C0C0C0"/>
      </top>
      <bottom style="thin">
        <color rgb="00C0C0C0"/>
      </bottom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0" borderId="0" applyAlignment="1" pivotButton="0" quotePrefix="0" xfId="0">
      <alignment vertical="bottom"/>
    </xf>
    <xf numFmtId="0" fontId="4" fillId="0" borderId="0" applyAlignment="1" pivotButton="0" quotePrefix="0" xfId="0">
      <alignment vertical="bottom"/>
    </xf>
    <xf numFmtId="0" fontId="5" fillId="2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vertical="bottom"/>
    </xf>
    <xf numFmtId="164" fontId="3" fillId="0" borderId="1" applyAlignment="1" pivotButton="0" quotePrefix="0" xfId="0">
      <alignment vertical="bottom"/>
    </xf>
    <xf numFmtId="0" fontId="6" fillId="0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  <xf numFmtId="0" fontId="3" fillId="0" borderId="1" applyAlignment="1" pivotButton="0" quotePrefix="0" xfId="0">
      <alignment horizontal="center" vertical="center" wrapText="1"/>
    </xf>
    <xf numFmtId="0" fontId="1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vertical="bottom"/>
    </xf>
    <xf numFmtId="164" fontId="6" fillId="0" borderId="1" applyAlignment="1" pivotButton="0" quotePrefix="0" xfId="0">
      <alignment horizontal="center" vertical="center" wrapText="1"/>
    </xf>
    <xf numFmtId="0" fontId="7" fillId="0" borderId="0" pivotButton="0" quotePrefix="0" xfId="0"/>
    <xf numFmtId="0" fontId="7" fillId="0" borderId="0" applyAlignment="1" pivotButton="0" quotePrefix="0" xfId="0">
      <alignment vertical="center"/>
    </xf>
    <xf numFmtId="0" fontId="0" fillId="0" borderId="0" applyAlignment="1" pivotButton="0" quotePrefix="0" xfId="0">
      <alignment vertical="top" wrapText="1"/>
    </xf>
    <xf numFmtId="0" fontId="8" fillId="0" borderId="0" pivotButton="0" quotePrefix="0" xfId="0"/>
    <xf numFmtId="0" fontId="9" fillId="0" borderId="0" applyAlignment="1" pivotButton="0" quotePrefix="0" xfId="0">
      <alignment vertical="top" wrapText="1"/>
    </xf>
    <xf numFmtId="0" fontId="9" fillId="0" borderId="0" pivotButton="0" quotePrefix="0" xfId="0"/>
    <xf numFmtId="0" fontId="10" fillId="3" borderId="2" applyAlignment="1" pivotButton="0" quotePrefix="0" xfId="0">
      <alignment horizontal="center" vertical="center"/>
    </xf>
    <xf numFmtId="0" fontId="13" fillId="0" borderId="0" pivotButton="0" quotePrefix="0" xfId="0"/>
    <xf numFmtId="0" fontId="11" fillId="0" borderId="2" applyAlignment="1" pivotButton="0" quotePrefix="0" xfId="0">
      <alignment horizontal="left" vertical="top" wrapText="1"/>
    </xf>
    <xf numFmtId="0" fontId="12" fillId="4" borderId="2" applyAlignment="1" pivotButton="0" quotePrefix="0" xfId="0">
      <alignment horizontal="center" vertical="center"/>
    </xf>
    <xf numFmtId="0" fontId="11" fillId="0" borderId="0" pivotButton="0" quotePrefix="0" xfId="0"/>
    <xf numFmtId="0" fontId="11" fillId="0" borderId="0" applyAlignment="1" pivotButton="0" quotePrefix="0" xfId="0">
      <alignment horizontal="center" vertical="center"/>
    </xf>
    <xf numFmtId="0" fontId="11" fillId="5" borderId="2" applyAlignment="1" pivotButton="0" quotePrefix="0" xfId="0">
      <alignment horizontal="left" vertical="top" wrapText="1"/>
    </xf>
    <xf numFmtId="0" fontId="12" fillId="6" borderId="2" applyAlignment="1" pivotButton="0" quotePrefix="0" xfId="0">
      <alignment horizontal="center" vertical="center"/>
    </xf>
    <xf numFmtId="0" fontId="12" fillId="7" borderId="2" applyAlignment="1" pivotButton="0" quotePrefix="0" xfId="0">
      <alignment horizontal="center" vertical="center"/>
    </xf>
  </cellXfs>
  <cellStyles count="1">
    <cellStyle name="Normal" xfId="0" builtinId="0"/>
  </cellStyles>
  <dxfs count="17">
    <dxf>
      <fill>
        <patternFill>
          <bgColor rgb="FFC8E6C9"/>
        </patternFill>
      </fill>
    </dxf>
    <dxf>
      <fill>
        <patternFill>
          <bgColor rgb="FFFFCDD2"/>
        </patternFill>
      </fill>
    </dxf>
    <dxf>
      <fill>
        <patternFill>
          <bgColor rgb="FFC8E6C9"/>
        </patternFill>
      </fill>
    </dxf>
    <dxf>
      <fill>
        <patternFill>
          <bgColor rgb="FFFFCDD2"/>
        </patternFill>
      </fill>
    </dxf>
    <dxf>
      <fill>
        <patternFill>
          <bgColor rgb="FFC8E6C9"/>
        </patternFill>
      </fill>
    </dxf>
    <dxf>
      <fill>
        <patternFill>
          <bgColor rgb="FFFFCDD2"/>
        </patternFill>
      </fill>
    </dxf>
    <dxf>
      <fill>
        <patternFill>
          <bgColor rgb="FFFFE0B2"/>
        </patternFill>
      </fill>
    </dxf>
    <dxf>
      <fill>
        <patternFill>
          <bgColor rgb="FFE1DFC6"/>
        </patternFill>
      </fill>
    </dxf>
    <dxf>
      <fill>
        <patternFill>
          <bgColor rgb="FFECEFF1"/>
        </patternFill>
      </fill>
    </dxf>
    <dxf>
      <fill>
        <patternFill>
          <bgColor rgb="FFC8E6C9"/>
        </patternFill>
      </fill>
    </dxf>
    <dxf>
      <fill>
        <patternFill>
          <bgColor rgb="FFFFCDD2"/>
        </patternFill>
      </fill>
    </dxf>
    <dxf>
      <fill>
        <patternFill>
          <bgColor rgb="FFE1DFC6"/>
        </patternFill>
      </fill>
    </dxf>
    <dxf>
      <fill>
        <patternFill>
          <bgColor rgb="FFC05640"/>
        </patternFill>
      </fill>
    </dxf>
    <dxf>
      <fill>
        <patternFill>
          <bgColor rgb="FFF2DC6B"/>
        </patternFill>
      </fill>
    </dxf>
    <dxf>
      <fill>
        <patternFill>
          <bgColor rgb="FFFFCDD2"/>
        </patternFill>
      </fill>
    </dxf>
    <dxf>
      <fill>
        <patternFill>
          <bgColor rgb="FFC8E6C9"/>
        </patternFill>
      </fill>
    </dxf>
    <dxf>
      <fill>
        <patternFill>
          <bgColor rgb="FFFFE0B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9"/>
  <sheetViews>
    <sheetView view="normal" zoomScale="100" zoomScaleNormal="100" workbookViewId="0">
      <selection activeCell="A1" sqref="A1"/>
    </sheetView>
  </sheetViews>
  <sheetFormatPr baseColWidth="8" defaultColWidth="8.6796875" defaultRowHeight="15" outlineLevelRow="0"/>
  <cols>
    <col width="40" customWidth="1" style="1" min="1" max="1"/>
    <col width="16" customWidth="1" style="1" min="2" max="2"/>
    <col width="50" customWidth="1" style="1" min="3" max="3"/>
    <col width="8" customWidth="1" style="1" min="4" max="6"/>
    <col width="10" customWidth="1" style="1" min="7" max="7"/>
  </cols>
  <sheetData>
    <row r="1" ht="19.5" customHeight="1">
      <c r="A1" s="2" t="inlineStr">
        <is>
          <t>Growize App — Test Execution Dashboard</t>
        </is>
      </c>
    </row>
    <row r="2" ht="15" customHeight="1">
      <c r="A2" s="3" t="inlineStr">
        <is>
          <t>Owner: ARL Tech</t>
        </is>
      </c>
    </row>
    <row r="3" ht="15" customHeight="1">
      <c r="A3" s="3" t="inlineStr">
        <is>
          <t>Cycle: Pre-launch 2026-05-05 + ongoing daily UAT (hybrid)</t>
        </is>
      </c>
    </row>
    <row r="4" ht="15" customHeight="1">
      <c r="A4" s="3" t="inlineStr">
        <is>
          <t>Rule: CRM observed only. Demo records suffix '-demo'. Fixes go in Supabase / app / sync / RLS — never CRM.</t>
        </is>
      </c>
    </row>
    <row r="6" ht="15" customHeight="1">
      <c r="A6" s="4" t="inlineStr">
        <is>
          <t>Execution Summary (manual weekly + pre-release pass)</t>
        </is>
      </c>
    </row>
    <row r="7" ht="15" customHeight="1">
      <c r="A7" s="5" t="inlineStr">
        <is>
          <t>Metric</t>
        </is>
      </c>
      <c r="B7" s="5" t="inlineStr">
        <is>
          <t>Value</t>
        </is>
      </c>
      <c r="C7" s="5" t="inlineStr">
        <is>
          <t>Source</t>
        </is>
      </c>
    </row>
    <row r="8" ht="15" customHeight="1">
      <c r="A8" s="6" t="inlineStr">
        <is>
          <t>Total test cases</t>
        </is>
      </c>
      <c r="B8" s="6">
        <f>COUNTA('Test Cases'!A4:A1000)</f>
        <v/>
      </c>
      <c r="C8" s="6" t="inlineStr">
        <is>
          <t>Count of TC IDs</t>
        </is>
      </c>
    </row>
    <row r="9" ht="15" customHeight="1">
      <c r="A9" s="6" t="inlineStr">
        <is>
          <t>Executed</t>
        </is>
      </c>
      <c r="B9" s="6">
        <f>COUNTIF('Test Cases'!J4:J1000,"Pass")+COUNTIF('Test Cases'!J4:J1000,"Fail")+COUNTIF('Test Cases'!J4:J1000,"Blocked")+COUNTIF('Test Cases'!J4:J1000,"N/A")</f>
        <v/>
      </c>
      <c r="C9" s="6" t="inlineStr">
        <is>
          <t>Status not Not Run</t>
        </is>
      </c>
    </row>
    <row r="10" ht="15" customHeight="1">
      <c r="A10" s="6" t="inlineStr">
        <is>
          <t>Passed</t>
        </is>
      </c>
      <c r="B10" s="6">
        <f>COUNTIF('Test Cases'!J4:J1000,"Pass")</f>
        <v/>
      </c>
      <c r="C10" s="6" t="inlineStr">
        <is>
          <t>Status = Pass</t>
        </is>
      </c>
    </row>
    <row r="11" ht="15" customHeight="1">
      <c r="A11" s="6" t="inlineStr">
        <is>
          <t>Failed</t>
        </is>
      </c>
      <c r="B11" s="6">
        <f>COUNTIF('Test Cases'!J4:J1000,"Fail")</f>
        <v/>
      </c>
      <c r="C11" s="6" t="inlineStr">
        <is>
          <t>Status = Fail</t>
        </is>
      </c>
    </row>
    <row r="12" ht="15" customHeight="1">
      <c r="A12" s="6" t="inlineStr">
        <is>
          <t>Blocked</t>
        </is>
      </c>
      <c r="B12" s="6">
        <f>COUNTIF('Test Cases'!J4:J1000,"Blocked")</f>
        <v/>
      </c>
      <c r="C12" s="6" t="inlineStr">
        <is>
          <t>Status = Blocked</t>
        </is>
      </c>
    </row>
    <row r="13" ht="15" customHeight="1">
      <c r="A13" s="6" t="inlineStr">
        <is>
          <t>N/A</t>
        </is>
      </c>
      <c r="B13" s="6">
        <f>COUNTIF('Test Cases'!J4:J1000,"N/A")</f>
        <v/>
      </c>
      <c r="C13" s="6" t="inlineStr">
        <is>
          <t>Status = N/A</t>
        </is>
      </c>
    </row>
    <row r="14" ht="15" customHeight="1">
      <c r="A14" s="6" t="inlineStr">
        <is>
          <t>Not Run</t>
        </is>
      </c>
      <c r="B14" s="6">
        <f>COUNTIF('Test Cases'!J4:J1000,"Not Run")</f>
        <v/>
      </c>
      <c r="C14" s="6" t="inlineStr">
        <is>
          <t>Remaining</t>
        </is>
      </c>
    </row>
    <row r="15" ht="15" customHeight="1">
      <c r="A15" s="6" t="inlineStr">
        <is>
          <t>Pass rate</t>
        </is>
      </c>
      <c r="B15" s="7">
        <f>IFERROR(B10/(B10+B11),0)</f>
        <v/>
      </c>
      <c r="C15" s="6" t="inlineStr">
        <is>
          <t>Pass / (Pass + Fail)</t>
        </is>
      </c>
    </row>
    <row r="16" ht="15" customHeight="1">
      <c r="A16" s="6" t="inlineStr">
        <is>
          <t>Open defects</t>
        </is>
      </c>
      <c r="B16" s="6">
        <f>COUNTIFS(Defects!I4:I1000,"Open")+COUNTIFS(Defects!I4:I1000,"Triaged")+COUNTIFS(Defects!I4:I1000,"In Progress")+COUNTIFS(Defects!I4:I1000,"Ready to Re-test")</f>
        <v/>
      </c>
      <c r="C16" s="6" t="inlineStr">
        <is>
          <t>Defects sheet</t>
        </is>
      </c>
    </row>
    <row r="17" ht="15" customHeight="1">
      <c r="A17" s="6" t="inlineStr">
        <is>
          <t>Critical (S1) open</t>
        </is>
      </c>
      <c r="B17" s="6">
        <f>COUNTIFS(Defects!G4:G1000,"S1",Defects!I4:I1000,"&lt;&gt;Closed-Pass",Defects!I4:I1000,"&lt;&gt;Closed-Wont Fix",Defects!I4:I1000,"&lt;&gt;Closed-Duplicate")</f>
        <v/>
      </c>
      <c r="C17" s="6" t="inlineStr">
        <is>
          <t>Severity S1, not closed</t>
        </is>
      </c>
    </row>
    <row r="18" ht="15" customHeight="1">
      <c r="A18" s="6" t="inlineStr">
        <is>
          <t>High (S2) open</t>
        </is>
      </c>
      <c r="B18" s="6">
        <f>COUNTIFS(Defects!G4:G1000,"S2",Defects!I4:I1000,"&lt;&gt;Closed-Pass",Defects!I4:I1000,"&lt;&gt;Closed-Wont Fix",Defects!I4:I1000,"&lt;&gt;Closed-Duplicate")</f>
        <v/>
      </c>
      <c r="C18" s="6" t="inlineStr">
        <is>
          <t>Severity S2, not closed</t>
        </is>
      </c>
    </row>
    <row r="19" ht="15" customHeight="1">
      <c r="A19" s="6" t="inlineStr">
        <is>
          <t>Defects closed</t>
        </is>
      </c>
      <c r="B19" s="6">
        <f>COUNTIF(Defects!I4:I1000,"Closed-Pass")</f>
        <v/>
      </c>
      <c r="C19" s="6" t="inlineStr">
        <is>
          <t>Resolved</t>
        </is>
      </c>
    </row>
    <row r="21" ht="15" customHeight="1">
      <c r="A21" s="4" t="inlineStr">
        <is>
          <t>Daily UAT (automated)</t>
        </is>
      </c>
    </row>
    <row r="22" ht="15" customHeight="1">
      <c r="A22" s="5" t="inlineStr">
        <is>
          <t>Metric</t>
        </is>
      </c>
      <c r="B22" s="5" t="inlineStr">
        <is>
          <t>Value</t>
        </is>
      </c>
      <c r="C22" s="5" t="inlineStr">
        <is>
          <t>Source</t>
        </is>
      </c>
    </row>
    <row r="23" ht="15" customHeight="1">
      <c r="A23" s="6" t="inlineStr">
        <is>
          <t>Last run date</t>
        </is>
      </c>
      <c r="B23" s="6">
        <f>'Daily UAT'!E1</f>
        <v/>
      </c>
      <c r="C23" s="6" t="inlineStr">
        <is>
          <t>Most recent run column header</t>
        </is>
      </c>
    </row>
    <row r="24" ht="15" customHeight="1">
      <c r="A24" s="6" t="inlineStr">
        <is>
          <t>Last run pass rate</t>
        </is>
      </c>
      <c r="B24" s="7">
        <f>IFERROR('Daily UAT'!E22,0)</f>
        <v/>
      </c>
      <c r="C24" s="6" t="inlineStr">
        <is>
          <t>Pass count / total</t>
        </is>
      </c>
    </row>
    <row r="25" ht="15" customHeight="1">
      <c r="A25" s="6" t="inlineStr">
        <is>
          <t>Cases in daily set</t>
        </is>
      </c>
      <c r="B25" s="6">
        <f>COUNTA('Daily UAT'!A4:A21)</f>
        <v/>
      </c>
      <c r="C25" s="6" t="inlineStr">
        <is>
          <t>D-## rows</t>
        </is>
      </c>
    </row>
    <row r="26" ht="15" customHeight="1">
      <c r="A26" s="6" t="inlineStr">
        <is>
          <t>Days run</t>
        </is>
      </c>
      <c r="B26" s="6">
        <f>COUNTA('Daily UAT'!E2:ZZ2)</f>
        <v/>
      </c>
      <c r="C26" s="6" t="inlineStr">
        <is>
          <t>Date headers</t>
        </is>
      </c>
    </row>
    <row r="29" ht="15" customHeight="1">
      <c r="A29" s="4" t="inlineStr">
        <is>
          <t>Coverage by area</t>
        </is>
      </c>
    </row>
    <row r="30" ht="26.25" customHeight="1">
      <c r="A30" s="5" t="inlineStr">
        <is>
          <t>Area</t>
        </is>
      </c>
      <c r="B30" s="5" t="inlineStr">
        <is>
          <t>Total cases</t>
        </is>
      </c>
      <c r="C30" s="5" t="inlineStr">
        <is>
          <t>Pass</t>
        </is>
      </c>
      <c r="D30" s="5" t="inlineStr">
        <is>
          <t>Fail</t>
        </is>
      </c>
      <c r="E30" s="5" t="inlineStr">
        <is>
          <t>Blocked</t>
        </is>
      </c>
      <c r="F30" s="5" t="inlineStr">
        <is>
          <t>Not Run</t>
        </is>
      </c>
      <c r="G30" s="5" t="inlineStr">
        <is>
          <t>Pass %</t>
        </is>
      </c>
    </row>
    <row r="31" ht="15" customHeight="1">
      <c r="A31" s="6" t="inlineStr">
        <is>
          <t>LLP</t>
        </is>
      </c>
      <c r="B31" s="6">
        <f>COUNTIF('Test Cases'!A4:A1000,"*-LLP-*")</f>
        <v/>
      </c>
      <c r="C31" s="6">
        <f>COUNTIFS('Test Cases'!A4:A1000,"*-LLP-*",'Test Cases'!J4:J1000,"Pass")</f>
        <v/>
      </c>
      <c r="D31" s="6">
        <f>COUNTIFS('Test Cases'!A4:A1000,"*-LLP-*",'Test Cases'!J4:J1000,"Fail")</f>
        <v/>
      </c>
      <c r="E31" s="6">
        <f>COUNTIFS('Test Cases'!A4:A1000,"*-LLP-*",'Test Cases'!J4:J1000,"Blocked")</f>
        <v/>
      </c>
      <c r="F31" s="6">
        <f>B31-C31-D31-E31-COUNTIFS('Test Cases'!A4:A1000,"*-LLP-*",'Test Cases'!J4:J1000,"N/A")</f>
        <v/>
      </c>
      <c r="G31" s="7">
        <f>IFERROR(C31/(C31+D31),0)</f>
        <v/>
      </c>
    </row>
    <row r="32" ht="15" customHeight="1">
      <c r="A32" s="6" t="inlineStr">
        <is>
          <t>PRJ</t>
        </is>
      </c>
      <c r="B32" s="6">
        <f>COUNTIF('Test Cases'!A4:A1000,"*-PRJ-*")</f>
        <v/>
      </c>
      <c r="C32" s="6">
        <f>COUNTIFS('Test Cases'!A4:A1000,"*-PRJ-*",'Test Cases'!J4:J1000,"Pass")</f>
        <v/>
      </c>
      <c r="D32" s="6">
        <f>COUNTIFS('Test Cases'!A4:A1000,"*-PRJ-*",'Test Cases'!J4:J1000,"Fail")</f>
        <v/>
      </c>
      <c r="E32" s="6">
        <f>COUNTIFS('Test Cases'!A4:A1000,"*-PRJ-*",'Test Cases'!J4:J1000,"Blocked")</f>
        <v/>
      </c>
      <c r="F32" s="6">
        <f>B32-C32-D32-E32-COUNTIFS('Test Cases'!A4:A1000,"*-PRJ-*",'Test Cases'!J4:J1000,"N/A")</f>
        <v/>
      </c>
      <c r="G32" s="7">
        <f>IFERROR(C32/(C32+D32),0)</f>
        <v/>
      </c>
    </row>
    <row r="33" ht="15" customHeight="1">
      <c r="A33" s="6" t="inlineStr">
        <is>
          <t>INV</t>
        </is>
      </c>
      <c r="B33" s="6">
        <f>COUNTIF('Test Cases'!A4:A1000,"*-INV-*")</f>
        <v/>
      </c>
      <c r="C33" s="6">
        <f>COUNTIFS('Test Cases'!A4:A1000,"*-INV-*",'Test Cases'!J4:J1000,"Pass")</f>
        <v/>
      </c>
      <c r="D33" s="6">
        <f>COUNTIFS('Test Cases'!A4:A1000,"*-INV-*",'Test Cases'!J4:J1000,"Fail")</f>
        <v/>
      </c>
      <c r="E33" s="6">
        <f>COUNTIFS('Test Cases'!A4:A1000,"*-INV-*",'Test Cases'!J4:J1000,"Blocked")</f>
        <v/>
      </c>
      <c r="F33" s="6">
        <f>B33-C33-D33-E33-COUNTIFS('Test Cases'!A4:A1000,"*-INV-*",'Test Cases'!J4:J1000,"N/A")</f>
        <v/>
      </c>
      <c r="G33" s="7">
        <f>IFERROR(C33/(C33+D33),0)</f>
        <v/>
      </c>
    </row>
    <row r="34" ht="15" customHeight="1">
      <c r="A34" s="6" t="inlineStr">
        <is>
          <t>ALC</t>
        </is>
      </c>
      <c r="B34" s="6">
        <f>COUNTIF('Test Cases'!A4:A1000,"*-ALC-*")</f>
        <v/>
      </c>
      <c r="C34" s="6">
        <f>COUNTIFS('Test Cases'!A4:A1000,"*-ALC-*",'Test Cases'!J4:J1000,"Pass")</f>
        <v/>
      </c>
      <c r="D34" s="6">
        <f>COUNTIFS('Test Cases'!A4:A1000,"*-ALC-*",'Test Cases'!J4:J1000,"Fail")</f>
        <v/>
      </c>
      <c r="E34" s="6">
        <f>COUNTIFS('Test Cases'!A4:A1000,"*-ALC-*",'Test Cases'!J4:J1000,"Blocked")</f>
        <v/>
      </c>
      <c r="F34" s="6">
        <f>B34-C34-D34-E34-COUNTIFS('Test Cases'!A4:A1000,"*-ALC-*",'Test Cases'!J4:J1000,"N/A")</f>
        <v/>
      </c>
      <c r="G34" s="7">
        <f>IFERROR(C34/(C34+D34),0)</f>
        <v/>
      </c>
    </row>
    <row r="35" ht="15" customHeight="1">
      <c r="A35" s="6" t="inlineStr">
        <is>
          <t>AUTH</t>
        </is>
      </c>
      <c r="B35" s="6">
        <f>COUNTIF('Test Cases'!A4:A1000,"*-AUTH-*")</f>
        <v/>
      </c>
      <c r="C35" s="6">
        <f>COUNTIFS('Test Cases'!A4:A1000,"*-AUTH-*",'Test Cases'!J4:J1000,"Pass")</f>
        <v/>
      </c>
      <c r="D35" s="6">
        <f>COUNTIFS('Test Cases'!A4:A1000,"*-AUTH-*",'Test Cases'!J4:J1000,"Fail")</f>
        <v/>
      </c>
      <c r="E35" s="6">
        <f>COUNTIFS('Test Cases'!A4:A1000,"*-AUTH-*",'Test Cases'!J4:J1000,"Blocked")</f>
        <v/>
      </c>
      <c r="F35" s="6">
        <f>B35-C35-D35-E35-COUNTIFS('Test Cases'!A4:A1000,"*-AUTH-*",'Test Cases'!J4:J1000,"N/A")</f>
        <v/>
      </c>
      <c r="G35" s="7">
        <f>IFERROR(C35/(C35+D35),0)</f>
        <v/>
      </c>
    </row>
    <row r="36" ht="15" customHeight="1">
      <c r="A36" s="6" t="inlineStr">
        <is>
          <t>APP</t>
        </is>
      </c>
      <c r="B36" s="6">
        <f>COUNTIF('Test Cases'!A4:A1000,"*-APP-*")</f>
        <v/>
      </c>
      <c r="C36" s="6">
        <f>COUNTIFS('Test Cases'!A4:A1000,"*-APP-*",'Test Cases'!J4:J1000,"Pass")</f>
        <v/>
      </c>
      <c r="D36" s="6">
        <f>COUNTIFS('Test Cases'!A4:A1000,"*-APP-*",'Test Cases'!J4:J1000,"Fail")</f>
        <v/>
      </c>
      <c r="E36" s="6">
        <f>COUNTIFS('Test Cases'!A4:A1000,"*-APP-*",'Test Cases'!J4:J1000,"Blocked")</f>
        <v/>
      </c>
      <c r="F36" s="6">
        <f>B36-C36-D36-E36-COUNTIFS('Test Cases'!A4:A1000,"*-APP-*",'Test Cases'!J4:J1000,"N/A")</f>
        <v/>
      </c>
      <c r="G36" s="7">
        <f>IFERROR(C36/(C36+D36),0)</f>
        <v/>
      </c>
    </row>
    <row r="37" ht="15" customHeight="1">
      <c r="A37" s="6" t="inlineStr">
        <is>
          <t>DOC</t>
        </is>
      </c>
      <c r="B37" s="6">
        <f>COUNTIF('Test Cases'!A4:A1000,"*-DOC-*")</f>
        <v/>
      </c>
      <c r="C37" s="6">
        <f>COUNTIFS('Test Cases'!A4:A1000,"*-DOC-*",'Test Cases'!J4:J1000,"Pass")</f>
        <v/>
      </c>
      <c r="D37" s="6">
        <f>COUNTIFS('Test Cases'!A4:A1000,"*-DOC-*",'Test Cases'!J4:J1000,"Fail")</f>
        <v/>
      </c>
      <c r="E37" s="6">
        <f>COUNTIFS('Test Cases'!A4:A1000,"*-DOC-*",'Test Cases'!J4:J1000,"Blocked")</f>
        <v/>
      </c>
      <c r="F37" s="6">
        <f>B37-C37-D37-E37-COUNTIFS('Test Cases'!A4:A1000,"*-DOC-*",'Test Cases'!J4:J1000,"N/A")</f>
        <v/>
      </c>
      <c r="G37" s="7">
        <f>IFERROR(C37/(C37+D37),0)</f>
        <v/>
      </c>
    </row>
    <row r="38" ht="15" customHeight="1">
      <c r="A38" s="6" t="inlineStr">
        <is>
          <t>EXIT</t>
        </is>
      </c>
      <c r="B38" s="6">
        <f>COUNTIF('Test Cases'!A4:A1000,"*-EXIT-*")</f>
        <v/>
      </c>
      <c r="C38" s="6">
        <f>COUNTIFS('Test Cases'!A4:A1000,"*-EXIT-*",'Test Cases'!J4:J1000,"Pass")</f>
        <v/>
      </c>
      <c r="D38" s="6">
        <f>COUNTIFS('Test Cases'!A4:A1000,"*-EXIT-*",'Test Cases'!J4:J1000,"Fail")</f>
        <v/>
      </c>
      <c r="E38" s="6">
        <f>COUNTIFS('Test Cases'!A4:A1000,"*-EXIT-*",'Test Cases'!J4:J1000,"Blocked")</f>
        <v/>
      </c>
      <c r="F38" s="6">
        <f>B38-C38-D38-E38-COUNTIFS('Test Cases'!A4:A1000,"*-EXIT-*",'Test Cases'!J4:J1000,"N/A")</f>
        <v/>
      </c>
      <c r="G38" s="7">
        <f>IFERROR(C38/(C38+D38),0)</f>
        <v/>
      </c>
    </row>
    <row r="39" ht="15" customHeight="1">
      <c r="A39" s="6" t="inlineStr">
        <is>
          <t>SYNC</t>
        </is>
      </c>
      <c r="B39" s="6">
        <f>COUNTIF('Test Cases'!A4:A1000,"*-SYNC-*")</f>
        <v/>
      </c>
      <c r="C39" s="6">
        <f>COUNTIFS('Test Cases'!A4:A1000,"*-SYNC-*",'Test Cases'!J4:J1000,"Pass")</f>
        <v/>
      </c>
      <c r="D39" s="6">
        <f>COUNTIFS('Test Cases'!A4:A1000,"*-SYNC-*",'Test Cases'!J4:J1000,"Fail")</f>
        <v/>
      </c>
      <c r="E39" s="6">
        <f>COUNTIFS('Test Cases'!A4:A1000,"*-SYNC-*",'Test Cases'!J4:J1000,"Blocked")</f>
        <v/>
      </c>
      <c r="F39" s="6">
        <f>B39-C39-D39-E39-COUNTIFS('Test Cases'!A4:A1000,"*-SYNC-*",'Test Cases'!J4:J1000,"N/A")</f>
        <v/>
      </c>
      <c r="G39" s="7">
        <f>IFERROR(C39/(C39+D39),0)</f>
        <v/>
      </c>
    </row>
    <row r="40" ht="15" customHeight="1">
      <c r="A40" s="6" t="inlineStr">
        <is>
          <t>RLS</t>
        </is>
      </c>
      <c r="B40" s="6">
        <f>COUNTIF('Test Cases'!A4:A1000,"*-RLS-*")</f>
        <v/>
      </c>
      <c r="C40" s="6">
        <f>COUNTIFS('Test Cases'!A4:A1000,"*-RLS-*",'Test Cases'!J4:J1000,"Pass")</f>
        <v/>
      </c>
      <c r="D40" s="6">
        <f>COUNTIFS('Test Cases'!A4:A1000,"*-RLS-*",'Test Cases'!J4:J1000,"Fail")</f>
        <v/>
      </c>
      <c r="E40" s="6">
        <f>COUNTIFS('Test Cases'!A4:A1000,"*-RLS-*",'Test Cases'!J4:J1000,"Blocked")</f>
        <v/>
      </c>
      <c r="F40" s="6">
        <f>B40-C40-D40-E40-COUNTIFS('Test Cases'!A4:A1000,"*-RLS-*",'Test Cases'!J4:J1000,"N/A")</f>
        <v/>
      </c>
      <c r="G40" s="7">
        <f>IFERROR(C40/(C40+D40),0)</f>
        <v/>
      </c>
    </row>
    <row r="41" ht="15" customHeight="1">
      <c r="A41" s="6" t="inlineStr">
        <is>
          <t>OBS</t>
        </is>
      </c>
      <c r="B41" s="6">
        <f>COUNTIF('Test Cases'!A4:A1000,"*-OBS-*")</f>
        <v/>
      </c>
      <c r="C41" s="6">
        <f>COUNTIFS('Test Cases'!A4:A1000,"*-OBS-*",'Test Cases'!J4:J1000,"Pass")</f>
        <v/>
      </c>
      <c r="D41" s="6">
        <f>COUNTIFS('Test Cases'!A4:A1000,"*-OBS-*",'Test Cases'!J4:J1000,"Fail")</f>
        <v/>
      </c>
      <c r="E41" s="6">
        <f>COUNTIFS('Test Cases'!A4:A1000,"*-OBS-*",'Test Cases'!J4:J1000,"Blocked")</f>
        <v/>
      </c>
      <c r="F41" s="6">
        <f>B41-C41-D41-E41-COUNTIFS('Test Cases'!A4:A1000,"*-OBS-*",'Test Cases'!J4:J1000,"N/A")</f>
        <v/>
      </c>
      <c r="G41" s="7">
        <f>IFERROR(C41/(C41+D41),0)</f>
        <v/>
      </c>
    </row>
    <row r="42" ht="15" customHeight="1">
      <c r="A42" s="6" t="inlineStr">
        <is>
          <t>NEG</t>
        </is>
      </c>
      <c r="B42" s="6">
        <f>COUNTIF('Test Cases'!A4:A1000,"*-NEG-*")</f>
        <v/>
      </c>
      <c r="C42" s="6">
        <f>COUNTIFS('Test Cases'!A4:A1000,"*-NEG-*",'Test Cases'!J4:J1000,"Pass")</f>
        <v/>
      </c>
      <c r="D42" s="6">
        <f>COUNTIFS('Test Cases'!A4:A1000,"*-NEG-*",'Test Cases'!J4:J1000,"Fail")</f>
        <v/>
      </c>
      <c r="E42" s="6">
        <f>COUNTIFS('Test Cases'!A4:A1000,"*-NEG-*",'Test Cases'!J4:J1000,"Blocked")</f>
        <v/>
      </c>
      <c r="F42" s="6">
        <f>B42-C42-D42-E42-COUNTIFS('Test Cases'!A4:A1000,"*-NEG-*",'Test Cases'!J4:J1000,"N/A")</f>
        <v/>
      </c>
      <c r="G42" s="7">
        <f>IFERROR(C42/(C42+D42),0)</f>
        <v/>
      </c>
    </row>
    <row r="44" ht="15" customHeight="1">
      <c r="A44" s="4" t="inlineStr">
        <is>
          <t>Notes</t>
        </is>
      </c>
    </row>
    <row r="45" ht="15" customHeight="1">
      <c r="A45" s="3" t="inlineStr">
        <is>
          <t>1. CRM is observed only. Demo records have name suffix '-demo'. Never write to CRM during testing.</t>
        </is>
      </c>
    </row>
    <row r="46" ht="15" customHeight="1">
      <c r="A46" s="3" t="inlineStr">
        <is>
          <t>2. Fixture Spec sheet is the bridge — fill CRM ID for each F-* row before running cases.</t>
        </is>
      </c>
    </row>
    <row r="47" ht="15" customHeight="1">
      <c r="A47" s="3" t="inlineStr">
        <is>
          <t>3. Test Cases sheet = weekly/pre-release human pass. Daily UAT sheet = automated daily run.</t>
        </is>
      </c>
    </row>
    <row r="48" ht="15" customHeight="1">
      <c r="A48" s="3" t="inlineStr">
        <is>
          <t>4. File defects in Defects sheet AND as docs/testing/defects/DEF-####.md.</t>
        </is>
      </c>
    </row>
    <row r="49" ht="15" customHeight="1">
      <c r="A49" s="3" t="inlineStr">
        <is>
          <t>5. Layer dropdown excludes CRM (we do not test by writing to CRM).</t>
        </is>
      </c>
    </row>
  </sheetData>
  <mergeCells count="6">
    <mergeCell ref="A1:G1"/>
    <mergeCell ref="A48:G48"/>
    <mergeCell ref="A49:G49"/>
    <mergeCell ref="A47:G47"/>
    <mergeCell ref="A45:G45"/>
    <mergeCell ref="A46:G46"/>
  </mergeCells>
  <pageMargins left="0.75" right="0.75" top="1" bottom="1" header="0.511811023622047" footer="0.511811023622047"/>
  <pageSetup orientation="portrait" paperSize="9" scale="100" fitToHeight="1" fitToWidth="1" firstPageNumber="1" useFirstPageNumber="1" horizontalDpi="300" verticalDpi="300" copies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6"/>
  <sheetViews>
    <sheetView view="normal" zoomScale="100" zoomScaleNormal="100" workbookViewId="0">
      <pane ySplit="4" topLeftCell="A5" activePane="bottomLeft" state="frozen"/>
      <selection pane="bottomLeft" activeCell="A1" sqref="A1"/>
    </sheetView>
  </sheetViews>
  <sheetFormatPr baseColWidth="8" defaultColWidth="8.6796875" defaultRowHeight="15" outlineLevelRow="0"/>
  <cols>
    <col width="14" customWidth="1" style="1" min="1" max="1"/>
    <col width="12" customWidth="1" style="1" min="2" max="2"/>
    <col width="50" customWidth="1" style="1" min="3" max="3"/>
    <col width="22" customWidth="1" style="1" min="4" max="4"/>
    <col width="14" customWidth="1" style="1" min="5" max="5"/>
    <col width="18" customWidth="1" style="1" min="6" max="6"/>
    <col width="30" customWidth="1" style="1" min="7" max="7"/>
  </cols>
  <sheetData>
    <row r="1" ht="19.5" customHeight="1">
      <c r="A1" s="2" t="inlineStr">
        <is>
          <t>Fixture Spec — '-demo' records required in CRM</t>
        </is>
      </c>
    </row>
    <row r="2" ht="15" customHeight="1">
      <c r="A2" s="3" t="inlineStr">
        <is>
          <t>Create these in Zoho CRM with name suffix '-demo'. Fill CRM ID and Supabase verification status.</t>
        </is>
      </c>
    </row>
    <row r="4" ht="26.25" customHeight="1">
      <c r="A4" s="5" t="inlineStr">
        <is>
          <t>Fixture key</t>
        </is>
      </c>
      <c r="B4" s="5" t="inlineStr">
        <is>
          <t>Type</t>
        </is>
      </c>
      <c r="C4" s="5" t="inlineStr">
        <is>
          <t>Required attributes</t>
        </is>
      </c>
      <c r="D4" s="5" t="inlineStr">
        <is>
          <t>CRM ID (fill in)</t>
        </is>
      </c>
      <c r="E4" s="5" t="inlineStr">
        <is>
          <t>Verified in CRM</t>
        </is>
      </c>
      <c r="F4" s="5" t="inlineStr">
        <is>
          <t>Verified in Supabase</t>
        </is>
      </c>
      <c r="G4" s="5" t="inlineStr">
        <is>
          <t>Notes</t>
        </is>
      </c>
    </row>
    <row r="5" ht="15" customHeight="1">
      <c r="A5" s="8" t="inlineStr">
        <is>
          <t>F-LLP-A</t>
        </is>
      </c>
      <c r="B5" s="9" t="inlineStr">
        <is>
          <t>LLP</t>
        </is>
      </c>
      <c r="C5" s="9" t="inlineStr">
        <is>
          <t>Active LLP with 2 child projects (1 Active, 1 Not Started)</t>
        </is>
      </c>
      <c r="D5" s="9" t="inlineStr">
        <is>
          <t>1169101000001433001</t>
        </is>
      </c>
      <c r="E5" s="9" t="inlineStr">
        <is>
          <t>Yes</t>
        </is>
      </c>
      <c r="F5" s="9" t="inlineStr">
        <is>
          <t>No</t>
        </is>
      </c>
      <c r="G5" s="9" t="n"/>
    </row>
    <row r="6" ht="15" customHeight="1">
      <c r="A6" s="8" t="inlineStr">
        <is>
          <t>F-LLP-B</t>
        </is>
      </c>
      <c r="B6" s="9" t="inlineStr">
        <is>
          <t>LLP</t>
        </is>
      </c>
      <c r="C6" s="9" t="inlineStr">
        <is>
          <t>Active LLP with 1 active project, single allocated investor</t>
        </is>
      </c>
      <c r="D6" s="9" t="inlineStr">
        <is>
          <t>1169101000001433017</t>
        </is>
      </c>
      <c r="E6" s="9" t="inlineStr">
        <is>
          <t>Yes</t>
        </is>
      </c>
      <c r="F6" s="9" t="inlineStr">
        <is>
          <t>No</t>
        </is>
      </c>
      <c r="G6" s="9" t="n"/>
    </row>
    <row r="7" ht="15" customHeight="1">
      <c r="A7" s="8" t="inlineStr">
        <is>
          <t>F-LLP-C</t>
        </is>
      </c>
      <c r="B7" s="9" t="inlineStr">
        <is>
          <t>LLP</t>
        </is>
      </c>
      <c r="C7" s="9" t="inlineStr">
        <is>
          <t>Active LLP with zero projects</t>
        </is>
      </c>
      <c r="D7" s="9" t="inlineStr">
        <is>
          <t>1169101000001439003</t>
        </is>
      </c>
      <c r="E7" s="9" t="inlineStr">
        <is>
          <t>Yes</t>
        </is>
      </c>
      <c r="F7" s="9" t="inlineStr">
        <is>
          <t>No</t>
        </is>
      </c>
      <c r="G7" s="9" t="n"/>
    </row>
    <row r="8" ht="15" customHeight="1">
      <c r="A8" s="8" t="inlineStr">
        <is>
          <t>F-LLP-A2</t>
        </is>
      </c>
      <c r="B8" s="9" t="inlineStr">
        <is>
          <t>LLP</t>
        </is>
      </c>
      <c r="C8" s="9" t="inlineStr">
        <is>
          <t>LLP/project, status Open for Reservation (Not Started). 500 units, ₹20000/unit. Used by SC-ALC-002.</t>
        </is>
      </c>
      <c r="D8" s="9" t="inlineStr">
        <is>
          <t>1169101000001433016</t>
        </is>
      </c>
      <c r="E8" s="9" t="inlineStr">
        <is>
          <t>Yes</t>
        </is>
      </c>
      <c r="F8" s="9" t="inlineStr">
        <is>
          <t>No</t>
        </is>
      </c>
      <c r="G8" s="9" t="n"/>
    </row>
    <row r="9" ht="15" customHeight="1">
      <c r="A9" s="8" t="inlineStr">
        <is>
          <t>F-LLP-EXIT</t>
        </is>
      </c>
      <c r="B9" s="9" t="inlineStr">
        <is>
          <t>LLP</t>
        </is>
      </c>
      <c r="C9" s="9" t="inlineStr">
        <is>
          <t>LLP/project, status Fully Subscribed/Closed. 600 units, ₹15000/unit. Used by SC-EXIT-001.</t>
        </is>
      </c>
      <c r="D9" s="9" t="inlineStr">
        <is>
          <t>1169101000001433018</t>
        </is>
      </c>
      <c r="E9" s="9" t="inlineStr">
        <is>
          <t>Yes</t>
        </is>
      </c>
      <c r="F9" s="9" t="inlineStr">
        <is>
          <t>No</t>
        </is>
      </c>
      <c r="G9" s="9" t="n"/>
    </row>
    <row r="10" ht="15" customHeight="1">
      <c r="A10" s="8" t="inlineStr">
        <is>
          <t>(unused)</t>
        </is>
      </c>
      <c r="B10" s="9" t="n"/>
      <c r="C10" s="9" t="inlineStr">
        <is>
          <t>Was F-PRJ-B1; merged into F-LLP-B per rewrite (LLP = project).</t>
        </is>
      </c>
      <c r="D10" s="9" t="n"/>
      <c r="E10" s="9" t="inlineStr">
        <is>
          <t>N/A</t>
        </is>
      </c>
      <c r="F10" s="9" t="inlineStr">
        <is>
          <t>N/A</t>
        </is>
      </c>
      <c r="G10" s="9" t="n"/>
    </row>
    <row r="11" ht="15" customHeight="1">
      <c r="A11" s="8" t="inlineStr">
        <is>
          <t>(unused)</t>
        </is>
      </c>
      <c r="B11" s="9" t="n"/>
      <c r="C11" s="9" t="inlineStr">
        <is>
          <t>Was F-PRJ-EXIT; merged into F-LLP-EXIT per rewrite (LLP = project).</t>
        </is>
      </c>
      <c r="D11" s="9" t="n"/>
      <c r="E11" s="9" t="inlineStr">
        <is>
          <t>N/A</t>
        </is>
      </c>
      <c r="F11" s="9" t="inlineStr">
        <is>
          <t>N/A</t>
        </is>
      </c>
      <c r="G11" s="9" t="n"/>
    </row>
    <row r="12" ht="15" customHeight="1">
      <c r="A12" s="8" t="inlineStr">
        <is>
          <t>F-INV-01</t>
        </is>
      </c>
      <c r="B12" s="9" t="inlineStr">
        <is>
          <t>Investor</t>
        </is>
      </c>
      <c r="C12" s="9" t="inlineStr">
        <is>
          <t>Onboarded. One Paid + Active allocation.</t>
        </is>
      </c>
      <c r="D12" s="9" t="inlineStr">
        <is>
          <t>1169101000001467016</t>
        </is>
      </c>
      <c r="E12" s="9" t="inlineStr">
        <is>
          <t>Yes</t>
        </is>
      </c>
      <c r="F12" s="9" t="inlineStr">
        <is>
          <t>No</t>
        </is>
      </c>
      <c r="G12" s="9" t="n"/>
    </row>
    <row r="13" ht="15" customHeight="1">
      <c r="A13" s="8" t="inlineStr">
        <is>
          <t>F-INV-02</t>
        </is>
      </c>
      <c r="B13" s="9" t="inlineStr">
        <is>
          <t>Investor</t>
        </is>
      </c>
      <c r="C13" s="9" t="inlineStr">
        <is>
          <t>Onboarded. One Paid + Not Started allocation.</t>
        </is>
      </c>
      <c r="D13" s="9" t="inlineStr">
        <is>
          <t>1169101000001467017</t>
        </is>
      </c>
      <c r="E13" s="9" t="inlineStr">
        <is>
          <t>Yes</t>
        </is>
      </c>
      <c r="F13" s="9" t="inlineStr">
        <is>
          <t>No</t>
        </is>
      </c>
      <c r="G13" s="9" t="n"/>
    </row>
    <row r="14" ht="15" customHeight="1">
      <c r="A14" s="8" t="inlineStr">
        <is>
          <t>F-INV-03</t>
        </is>
      </c>
      <c r="B14" s="9" t="inlineStr">
        <is>
          <t>Investor</t>
        </is>
      </c>
      <c r="C14" s="9" t="inlineStr">
        <is>
          <t>Onboarded. One Pending allocation (paid 0).</t>
        </is>
      </c>
      <c r="D14" s="9" t="inlineStr">
        <is>
          <t>1169101000001467018</t>
        </is>
      </c>
      <c r="E14" s="9" t="inlineStr">
        <is>
          <t>Yes</t>
        </is>
      </c>
      <c r="F14" s="9" t="inlineStr">
        <is>
          <t>No</t>
        </is>
      </c>
      <c r="G14" s="9" t="n"/>
    </row>
    <row r="15" ht="15" customHeight="1">
      <c r="A15" s="8" t="inlineStr">
        <is>
          <t>F-INV-04</t>
        </is>
      </c>
      <c r="B15" s="9" t="inlineStr">
        <is>
          <t>Investor</t>
        </is>
      </c>
      <c r="C15" s="9" t="inlineStr">
        <is>
          <t>Onboarded. One Partial allocation (paid 50%).</t>
        </is>
      </c>
      <c r="D15" s="9" t="inlineStr">
        <is>
          <t>1169101000001467019</t>
        </is>
      </c>
      <c r="E15" s="9" t="inlineStr">
        <is>
          <t>Yes</t>
        </is>
      </c>
      <c r="F15" s="9" t="inlineStr">
        <is>
          <t>No</t>
        </is>
      </c>
      <c r="G15" s="9" t="n"/>
    </row>
    <row r="16" ht="15" customHeight="1">
      <c r="A16" s="8" t="inlineStr">
        <is>
          <t>F-INV-05</t>
        </is>
      </c>
      <c r="B16" s="9" t="inlineStr">
        <is>
          <t>Investor</t>
        </is>
      </c>
      <c r="C16" s="9" t="inlineStr">
        <is>
          <t>Onboarded. Multi-project across two LLPs.</t>
        </is>
      </c>
      <c r="D16" s="9" t="inlineStr">
        <is>
          <t>1169101000001467020</t>
        </is>
      </c>
      <c r="E16" s="9" t="inlineStr">
        <is>
          <t>Yes</t>
        </is>
      </c>
      <c r="F16" s="9" t="inlineStr">
        <is>
          <t>No</t>
        </is>
      </c>
      <c r="G16" s="9" t="n"/>
    </row>
    <row r="17" ht="15" customHeight="1">
      <c r="A17" s="8" t="inlineStr">
        <is>
          <t>F-INV-06</t>
        </is>
      </c>
      <c r="B17" s="9" t="inlineStr">
        <is>
          <t>Investor</t>
        </is>
      </c>
      <c r="C17" s="9" t="inlineStr">
        <is>
          <t>Onboarded. Zero allocations (empty-state).</t>
        </is>
      </c>
      <c r="D17" s="9" t="inlineStr">
        <is>
          <t>1169101000001467021</t>
        </is>
      </c>
      <c r="E17" s="9" t="inlineStr">
        <is>
          <t>Yes</t>
        </is>
      </c>
      <c r="F17" s="9" t="inlineStr">
        <is>
          <t>No</t>
        </is>
      </c>
      <c r="G17" s="9" t="n"/>
    </row>
    <row r="18" ht="15" customHeight="1">
      <c r="A18" s="8" t="inlineStr">
        <is>
          <t>F-INV-07</t>
        </is>
      </c>
      <c r="B18" s="9" t="inlineStr">
        <is>
          <t>Investor</t>
        </is>
      </c>
      <c r="C18" s="9" t="inlineStr">
        <is>
          <t>Two CRM contacts share same email (negative).</t>
        </is>
      </c>
      <c r="D18" s="9" t="inlineStr">
        <is>
          <t>1169101000001467022</t>
        </is>
      </c>
      <c r="E18" s="9" t="inlineStr">
        <is>
          <t>Yes</t>
        </is>
      </c>
      <c r="F18" s="9" t="inlineStr">
        <is>
          <t>No</t>
        </is>
      </c>
      <c r="G18" s="9" t="n"/>
    </row>
    <row r="19" ht="15" customHeight="1">
      <c r="A19" s="8" t="inlineStr">
        <is>
          <t>F-ALC-01</t>
        </is>
      </c>
      <c r="B19" s="9" t="inlineStr">
        <is>
          <t>Allocation</t>
        </is>
      </c>
      <c r="C19" s="9" t="inlineStr">
        <is>
          <t>F-INV-01 -&gt; F-PRJ-A1. Paid + Active.</t>
        </is>
      </c>
      <c r="D19" s="9" t="inlineStr">
        <is>
          <t>1169101000001466002</t>
        </is>
      </c>
      <c r="E19" s="9" t="inlineStr">
        <is>
          <t>Yes</t>
        </is>
      </c>
      <c r="F19" s="9" t="inlineStr">
        <is>
          <t>No</t>
        </is>
      </c>
      <c r="G19" s="9" t="n"/>
    </row>
    <row r="20" ht="15" customHeight="1">
      <c r="A20" s="8" t="inlineStr">
        <is>
          <t>F-ALC-02</t>
        </is>
      </c>
      <c r="B20" s="9" t="inlineStr">
        <is>
          <t>Allocation</t>
        </is>
      </c>
      <c r="C20" s="9" t="inlineStr">
        <is>
          <t>F-INV-02 -&gt; F-PRJ-A2. Paid + Not Started.</t>
        </is>
      </c>
      <c r="D20" s="9" t="inlineStr">
        <is>
          <t>1169101000001430008</t>
        </is>
      </c>
      <c r="E20" s="9" t="inlineStr">
        <is>
          <t>Yes</t>
        </is>
      </c>
      <c r="F20" s="9" t="inlineStr">
        <is>
          <t>No</t>
        </is>
      </c>
      <c r="G20" s="9" t="n"/>
    </row>
    <row r="21" ht="15" customHeight="1">
      <c r="A21" s="8" t="inlineStr">
        <is>
          <t>F-ALC-03</t>
        </is>
      </c>
      <c r="B21" s="9" t="inlineStr">
        <is>
          <t>Allocation</t>
        </is>
      </c>
      <c r="C21" s="9" t="inlineStr">
        <is>
          <t>F-INV-03 -&gt; F-PRJ-A1. Pending (paid=0).</t>
        </is>
      </c>
      <c r="D21" s="9" t="inlineStr">
        <is>
          <t>1169101000001430009</t>
        </is>
      </c>
      <c r="E21" s="9" t="inlineStr">
        <is>
          <t>Yes</t>
        </is>
      </c>
      <c r="F21" s="9" t="inlineStr">
        <is>
          <t>No</t>
        </is>
      </c>
      <c r="G21" s="9" t="n"/>
    </row>
    <row r="22" ht="15" customHeight="1">
      <c r="A22" s="8" t="inlineStr">
        <is>
          <t>F-ALC-04</t>
        </is>
      </c>
      <c r="B22" s="9" t="inlineStr">
        <is>
          <t>Allocation</t>
        </is>
      </c>
      <c r="C22" s="9" t="inlineStr">
        <is>
          <t>F-INV-04 -&gt; F-PRJ-A1. Partial (paid 50%).</t>
        </is>
      </c>
      <c r="D22" s="9" t="inlineStr">
        <is>
          <t>1169101000001430010</t>
        </is>
      </c>
      <c r="E22" s="9" t="inlineStr">
        <is>
          <t>Yes</t>
        </is>
      </c>
      <c r="F22" s="9" t="inlineStr">
        <is>
          <t>No</t>
        </is>
      </c>
      <c r="G22" s="9" t="n"/>
    </row>
    <row r="23" ht="15" customHeight="1">
      <c r="A23" s="8" t="inlineStr">
        <is>
          <t>F-ALC-05</t>
        </is>
      </c>
      <c r="B23" s="9" t="inlineStr">
        <is>
          <t>Allocation</t>
        </is>
      </c>
      <c r="C23" s="9" t="inlineStr">
        <is>
          <t>F-INV-05 -&gt; F-PRJ-A1. Paid + Active.</t>
        </is>
      </c>
      <c r="D23" s="9" t="inlineStr">
        <is>
          <t>1169101000001430011</t>
        </is>
      </c>
      <c r="E23" s="9" t="inlineStr">
        <is>
          <t>Yes</t>
        </is>
      </c>
      <c r="F23" s="9" t="inlineStr">
        <is>
          <t>No</t>
        </is>
      </c>
      <c r="G23" s="9" t="n"/>
    </row>
    <row r="24" ht="15" customHeight="1">
      <c r="A24" s="8" t="inlineStr">
        <is>
          <t>F-ALC-06</t>
        </is>
      </c>
      <c r="B24" s="9" t="inlineStr">
        <is>
          <t>Allocation</t>
        </is>
      </c>
      <c r="C24" s="9" t="inlineStr">
        <is>
          <t>F-INV-05 -&gt; F-PRJ-B1. Paid + Active.</t>
        </is>
      </c>
      <c r="D24" s="9" t="inlineStr">
        <is>
          <t>1169101000001430012</t>
        </is>
      </c>
      <c r="E24" s="9" t="inlineStr">
        <is>
          <t>Yes</t>
        </is>
      </c>
      <c r="F24" s="9" t="inlineStr">
        <is>
          <t>No</t>
        </is>
      </c>
      <c r="G24" s="9" t="n"/>
    </row>
    <row r="25" ht="15" customHeight="1">
      <c r="A25" s="8" t="inlineStr">
        <is>
          <t>F-ALC-EXIT</t>
        </is>
      </c>
      <c r="B25" s="9" t="inlineStr">
        <is>
          <t>Allocation</t>
        </is>
      </c>
      <c r="C25" s="9" t="inlineStr">
        <is>
          <t>F-INV-01 -&gt; F-PRJ-EXIT. Closed with payout.</t>
        </is>
      </c>
      <c r="D25" s="9" t="inlineStr">
        <is>
          <t>1169101000001430013</t>
        </is>
      </c>
      <c r="E25" s="9" t="inlineStr">
        <is>
          <t>Yes</t>
        </is>
      </c>
      <c r="F25" s="9" t="inlineStr">
        <is>
          <t>No</t>
        </is>
      </c>
      <c r="G25" s="9" t="n"/>
    </row>
    <row r="26" ht="15" customHeight="1">
      <c r="A26" s="8" t="inlineStr">
        <is>
          <t>F-DOC-01</t>
        </is>
      </c>
      <c r="B26" s="9" t="inlineStr">
        <is>
          <t>Document</t>
        </is>
      </c>
      <c r="C26" s="9" t="inlineStr">
        <is>
          <t>One PDF scoped to F-INV-01 only.</t>
        </is>
      </c>
      <c r="D26" s="9" t="n"/>
      <c r="E26" s="9" t="inlineStr">
        <is>
          <t>No</t>
        </is>
      </c>
      <c r="F26" s="9" t="inlineStr">
        <is>
          <t>No</t>
        </is>
      </c>
      <c r="G26" s="9" t="n"/>
    </row>
  </sheetData>
  <mergeCells count="1">
    <mergeCell ref="A1:G1"/>
  </mergeCells>
  <conditionalFormatting sqref="E5:E26">
    <cfRule type="cellIs" priority="2" operator="equal" dxfId="0">
      <formula>"Yes"</formula>
    </cfRule>
    <cfRule type="cellIs" priority="3" operator="equal" dxfId="1">
      <formula>"No"</formula>
    </cfRule>
  </conditionalFormatting>
  <conditionalFormatting sqref="F5:F26">
    <cfRule type="cellIs" priority="4" operator="equal" dxfId="0">
      <formula>"Yes"</formula>
    </cfRule>
    <cfRule type="cellIs" priority="5" operator="equal" dxfId="1">
      <formula>"No"</formula>
    </cfRule>
  </conditionalFormatting>
  <dataValidations count="2">
    <dataValidation sqref="E10:F26" showDropDown="0" showInputMessage="0" showErrorMessage="0" allowBlank="1" type="list" errorStyle="stop">
      <formula1>"No,Yes,N/A"</formula1>
      <formula2>0</formula2>
    </dataValidation>
    <dataValidation sqref="E5:F26" showDropDown="0" showInputMessage="0" showErrorMessage="0" allowBlank="1" type="list" errorStyle="stop">
      <formula1>"No,Yes,N/A"</formula1>
      <formula2>0</formula2>
    </dataValidation>
  </dataValidations>
  <pageMargins left="0.75" right="0.75" top="1" bottom="1" header="0.511811023622047" footer="0.511811023622047"/>
  <pageSetup orientation="portrait" paperSize="9" scale="100" fitToHeight="1" fitToWidth="1" firstPageNumber="1" useFirstPageNumber="1" horizontalDpi="300" verticalDpi="300" copies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0"/>
  <sheetViews>
    <sheetView view="normal" zoomScale="100" zoomScaleNormal="100" workbookViewId="0">
      <selection activeCell="A1" sqref="A1"/>
    </sheetView>
  </sheetViews>
  <sheetFormatPr baseColWidth="8" defaultColWidth="8.6796875" defaultRowHeight="15" outlineLevelRow="0"/>
  <cols>
    <col width="14" customWidth="1" style="1" min="1" max="1"/>
    <col width="8" customWidth="1" style="1" min="2" max="2"/>
    <col width="36" customWidth="1" style="1" min="3" max="3"/>
    <col width="50" customWidth="1" style="1" min="4" max="4"/>
    <col width="30" customWidth="1" style="1" min="5" max="5"/>
    <col width="22" customWidth="1" style="1" min="6" max="6"/>
    <col width="14" customWidth="1" style="1" min="7" max="7"/>
  </cols>
  <sheetData>
    <row r="1" ht="19.5" customHeight="1">
      <c r="A1" s="2" t="inlineStr">
        <is>
          <t>Test Scenarios</t>
        </is>
      </c>
    </row>
    <row r="3" ht="27.75" customHeight="1">
      <c r="A3" s="5" t="inlineStr">
        <is>
          <t>Scenario ID</t>
        </is>
      </c>
      <c r="B3" s="5" t="inlineStr">
        <is>
          <t>Area</t>
        </is>
      </c>
      <c r="C3" s="5" t="inlineStr">
        <is>
          <t>Title</t>
        </is>
      </c>
      <c r="D3" s="5" t="inlineStr">
        <is>
          <t>Goal</t>
        </is>
      </c>
      <c r="E3" s="5" t="inlineStr">
        <is>
          <t>Required fixtures</t>
        </is>
      </c>
      <c r="F3" s="5" t="inlineStr">
        <is>
          <t>Linked test cases</t>
        </is>
      </c>
      <c r="G3" s="5" t="inlineStr">
        <is>
          <t>Status</t>
        </is>
      </c>
    </row>
    <row r="4" ht="49.5" customHeight="1">
      <c r="A4" s="9" t="inlineStr">
        <is>
          <t>SC-LLP-001</t>
        </is>
      </c>
      <c r="B4" s="9" t="inlineStr">
        <is>
          <t>LLP</t>
        </is>
      </c>
      <c r="C4" s="9" t="inlineStr">
        <is>
          <t>LLP visibility</t>
        </is>
      </c>
      <c r="D4" s="9" t="inlineStr">
        <is>
          <t>Demo LLP in CRM is reflected in Supabase and visible in app.</t>
        </is>
      </c>
      <c r="E4" s="9" t="inlineStr">
        <is>
          <t>F-LLP-A</t>
        </is>
      </c>
      <c r="F4" s="9" t="inlineStr">
        <is>
          <t>TC-LLP-001-01..04</t>
        </is>
      </c>
      <c r="G4" s="10" t="inlineStr">
        <is>
          <t>Not Started</t>
        </is>
      </c>
    </row>
    <row r="5" ht="49.5" customHeight="1">
      <c r="A5" s="9" t="inlineStr">
        <is>
          <t>SC-LLP-002</t>
        </is>
      </c>
      <c r="B5" s="9" t="inlineStr">
        <is>
          <t>LLP</t>
        </is>
      </c>
      <c r="C5" s="9" t="inlineStr">
        <is>
          <t>Empty LLP</t>
        </is>
      </c>
      <c r="D5" s="9" t="inlineStr">
        <is>
          <t>LLP with zero projects renders empty state without crash.</t>
        </is>
      </c>
      <c r="E5" s="9" t="inlineStr">
        <is>
          <t>F-LLP-C</t>
        </is>
      </c>
      <c r="F5" s="9" t="inlineStr">
        <is>
          <t>TC-LLP-002-01..02</t>
        </is>
      </c>
      <c r="G5" s="10" t="inlineStr">
        <is>
          <t>Not Started</t>
        </is>
      </c>
    </row>
    <row r="6" ht="49.5" customHeight="1">
      <c r="A6" s="9" t="inlineStr">
        <is>
          <t>SC-PRJ-001</t>
        </is>
      </c>
      <c r="B6" s="9" t="inlineStr">
        <is>
          <t>PRJ</t>
        </is>
      </c>
      <c r="C6" s="9" t="inlineStr">
        <is>
          <t>Project under LLP</t>
        </is>
      </c>
      <c r="D6" s="9" t="inlineStr">
        <is>
          <t>Project linked to LLP appears in app for allocated investors only.</t>
        </is>
      </c>
      <c r="E6" s="9" t="inlineStr">
        <is>
          <t>F-LLP-A, F-PRJ-A1</t>
        </is>
      </c>
      <c r="F6" s="9" t="inlineStr">
        <is>
          <t>TC-PRJ-001-01..03</t>
        </is>
      </c>
      <c r="G6" s="10" t="inlineStr">
        <is>
          <t>Not Started</t>
        </is>
      </c>
    </row>
    <row r="7" ht="49.5" customHeight="1">
      <c r="A7" s="9" t="inlineStr">
        <is>
          <t>SC-PRJ-002</t>
        </is>
      </c>
      <c r="B7" s="9" t="inlineStr">
        <is>
          <t>PRJ</t>
        </is>
      </c>
      <c r="C7" s="9" t="inlineStr">
        <is>
          <t>Project state transitions</t>
        </is>
      </c>
      <c r="D7" s="9" t="inlineStr">
        <is>
          <t>Project state changes propagate correctly (observed when ops transitions).</t>
        </is>
      </c>
      <c r="E7" s="9" t="inlineStr">
        <is>
          <t>F-PRJ-A2, F-PRJ-EXIT</t>
        </is>
      </c>
      <c r="F7" s="9" t="inlineStr">
        <is>
          <t>TC-PRJ-002-01..03</t>
        </is>
      </c>
      <c r="G7" s="10" t="inlineStr">
        <is>
          <t>Not Started</t>
        </is>
      </c>
    </row>
    <row r="8" ht="49.5" customHeight="1">
      <c r="A8" s="9" t="inlineStr">
        <is>
          <t>SC-INV-001</t>
        </is>
      </c>
      <c r="B8" s="9" t="inlineStr">
        <is>
          <t>INV</t>
        </is>
      </c>
      <c r="C8" s="9" t="inlineStr">
        <is>
          <t>Investor lifecycle and login</t>
        </is>
      </c>
      <c r="D8" s="9" t="inlineStr">
        <is>
          <t>Onboarded investor logs in and sees own portfolio only.</t>
        </is>
      </c>
      <c r="E8" s="9" t="inlineStr">
        <is>
          <t>F-INV-01, F-INV-02</t>
        </is>
      </c>
      <c r="F8" s="9" t="inlineStr">
        <is>
          <t>TC-INV-001-01..05</t>
        </is>
      </c>
      <c r="G8" s="10" t="inlineStr">
        <is>
          <t>Not Started</t>
        </is>
      </c>
    </row>
    <row r="9" ht="49.5" customHeight="1">
      <c r="A9" s="9" t="inlineStr">
        <is>
          <t>SC-ALC-001</t>
        </is>
      </c>
      <c r="B9" s="9" t="inlineStr">
        <is>
          <t>ALC</t>
        </is>
      </c>
      <c r="C9" s="9" t="inlineStr">
        <is>
          <t>Paid + Active</t>
        </is>
      </c>
      <c r="D9" s="9" t="inlineStr">
        <is>
          <t>Paid investor sees units in active earning project.</t>
        </is>
      </c>
      <c r="E9" s="9" t="inlineStr">
        <is>
          <t>F-INV-01, F-PRJ-A1, F-ALC-01</t>
        </is>
      </c>
      <c r="F9" s="9" t="inlineStr">
        <is>
          <t>TC-ALC-001-01..05</t>
        </is>
      </c>
      <c r="G9" s="10" t="inlineStr">
        <is>
          <t>Not Started</t>
        </is>
      </c>
    </row>
    <row r="10" ht="49.5" customHeight="1">
      <c r="A10" s="9" t="inlineStr">
        <is>
          <t>SC-ALC-002</t>
        </is>
      </c>
      <c r="B10" s="9" t="inlineStr">
        <is>
          <t>ALC</t>
        </is>
      </c>
      <c r="C10" s="9" t="inlineStr">
        <is>
          <t>Paid + Not Started</t>
        </is>
      </c>
      <c r="D10" s="9" t="inlineStr">
        <is>
          <t>Paid investor with not-started project sees Reserved/Not Started state.</t>
        </is>
      </c>
      <c r="E10" s="9" t="inlineStr">
        <is>
          <t>F-INV-02, F-PRJ-A2, F-ALC-02</t>
        </is>
      </c>
      <c r="F10" s="9" t="inlineStr">
        <is>
          <t>TC-ALC-002-01..03</t>
        </is>
      </c>
      <c r="G10" s="10" t="inlineStr">
        <is>
          <t>Not Started</t>
        </is>
      </c>
    </row>
    <row r="11" ht="49.5" customHeight="1">
      <c r="A11" s="9" t="inlineStr">
        <is>
          <t>SC-ALC-003</t>
        </is>
      </c>
      <c r="B11" s="9" t="inlineStr">
        <is>
          <t>ALC</t>
        </is>
      </c>
      <c r="C11" s="9" t="inlineStr">
        <is>
          <t>Payment Pending</t>
        </is>
      </c>
      <c r="D11" s="9" t="inlineStr">
        <is>
          <t>Investor with units allocated but no payment received sees Pending.</t>
        </is>
      </c>
      <c r="E11" s="9" t="inlineStr">
        <is>
          <t>F-INV-03, F-PRJ-A1, F-ALC-03</t>
        </is>
      </c>
      <c r="F11" s="9" t="inlineStr">
        <is>
          <t>TC-ALC-003-01..03</t>
        </is>
      </c>
      <c r="G11" s="10" t="inlineStr">
        <is>
          <t>Not Started</t>
        </is>
      </c>
    </row>
    <row r="12" ht="49.5" customHeight="1">
      <c r="A12" s="9" t="inlineStr">
        <is>
          <t>SC-ALC-004</t>
        </is>
      </c>
      <c r="B12" s="9" t="inlineStr">
        <is>
          <t>ALC</t>
        </is>
      </c>
      <c r="C12" s="9" t="inlineStr">
        <is>
          <t>Partial Payment</t>
        </is>
      </c>
      <c r="D12" s="9" t="inlineStr">
        <is>
          <t>Partial-payment investor sees proportional state and outstanding balance.</t>
        </is>
      </c>
      <c r="E12" s="9" t="inlineStr">
        <is>
          <t>F-INV-04, F-PRJ-A1, F-ALC-04</t>
        </is>
      </c>
      <c r="F12" s="9" t="inlineStr">
        <is>
          <t>TC-ALC-004-01..03</t>
        </is>
      </c>
      <c r="G12" s="10" t="inlineStr">
        <is>
          <t>Not Started</t>
        </is>
      </c>
    </row>
    <row r="13" ht="49.5" customHeight="1">
      <c r="A13" s="9" t="inlineStr">
        <is>
          <t>SC-ALC-005</t>
        </is>
      </c>
      <c r="B13" s="9" t="inlineStr">
        <is>
          <t>ALC</t>
        </is>
      </c>
      <c r="C13" s="9" t="inlineStr">
        <is>
          <t>Multi-project investor</t>
        </is>
      </c>
      <c r="D13" s="9" t="inlineStr">
        <is>
          <t>Investor allocated across multiple projects/LLPs sees aggregated portfolio.</t>
        </is>
      </c>
      <c r="E13" s="9" t="inlineStr">
        <is>
          <t>F-INV-05, F-PRJ-A1, F-PRJ-B1, F-ALC-05, F-ALC-06</t>
        </is>
      </c>
      <c r="F13" s="9" t="inlineStr">
        <is>
          <t>TC-ALC-005-01..04</t>
        </is>
      </c>
      <c r="G13" s="10" t="inlineStr">
        <is>
          <t>Not Started</t>
        </is>
      </c>
    </row>
    <row r="14" ht="49.5" customHeight="1">
      <c r="A14" s="9" t="inlineStr">
        <is>
          <t>SC-AUTH-001</t>
        </is>
      </c>
      <c r="B14" s="9" t="inlineStr">
        <is>
          <t>AUTH</t>
        </is>
      </c>
      <c r="C14" s="9" t="inlineStr">
        <is>
          <t>Authentication and isolation</t>
        </is>
      </c>
      <c r="D14" s="9" t="inlineStr">
        <is>
          <t>Authenticated user maps to one investor and sees only their data.</t>
        </is>
      </c>
      <c r="E14" s="9" t="inlineStr">
        <is>
          <t>F-INV-01, F-INV-02</t>
        </is>
      </c>
      <c r="F14" s="9" t="inlineStr">
        <is>
          <t>TC-AUTH-001-01..05</t>
        </is>
      </c>
      <c r="G14" s="10" t="inlineStr">
        <is>
          <t>Not Started</t>
        </is>
      </c>
    </row>
    <row r="15" ht="49.5" customHeight="1">
      <c r="A15" s="9" t="inlineStr">
        <is>
          <t>SC-APP-001</t>
        </is>
      </c>
      <c r="B15" s="9" t="inlineStr">
        <is>
          <t>APP</t>
        </is>
      </c>
      <c r="C15" s="9" t="inlineStr">
        <is>
          <t>Rendering parity (HTML -&gt; Flutter)</t>
        </is>
      </c>
      <c r="D15" s="9" t="inlineStr">
        <is>
          <t>All 17 screens match HTML prototype.</t>
        </is>
      </c>
      <c r="E15" s="9" t="inlineStr">
        <is>
          <t>F-INV-01, F-ALC-01</t>
        </is>
      </c>
      <c r="F15" s="9" t="inlineStr">
        <is>
          <t>TC-APP-001-01..17</t>
        </is>
      </c>
      <c r="G15" s="10" t="inlineStr">
        <is>
          <t>Not Started</t>
        </is>
      </c>
    </row>
    <row r="16" ht="49.5" customHeight="1">
      <c r="A16" s="9" t="inlineStr">
        <is>
          <t>SC-DOC-001</t>
        </is>
      </c>
      <c r="B16" s="9" t="inlineStr">
        <is>
          <t>DOC</t>
        </is>
      </c>
      <c r="C16" s="9" t="inlineStr">
        <is>
          <t>Documents per investor</t>
        </is>
      </c>
      <c r="D16" s="9" t="inlineStr">
        <is>
          <t>Investor sees only own documents.</t>
        </is>
      </c>
      <c r="E16" s="9" t="inlineStr">
        <is>
          <t>F-INV-01, F-INV-02, F-DOC-01</t>
        </is>
      </c>
      <c r="F16" s="9" t="inlineStr">
        <is>
          <t>TC-DOC-001-01..03</t>
        </is>
      </c>
      <c r="G16" s="10" t="inlineStr">
        <is>
          <t>Not Started</t>
        </is>
      </c>
    </row>
    <row r="17" ht="49.5" customHeight="1">
      <c r="A17" s="9" t="inlineStr">
        <is>
          <t>SC-EXIT-001</t>
        </is>
      </c>
      <c r="B17" s="9" t="inlineStr">
        <is>
          <t>EXIT</t>
        </is>
      </c>
      <c r="C17" s="9" t="inlineStr">
        <is>
          <t>Exit and payout</t>
        </is>
      </c>
      <c r="D17" s="9" t="inlineStr">
        <is>
          <t>Closed project shows payout breakup to allocated investors.</t>
        </is>
      </c>
      <c r="E17" s="9" t="inlineStr">
        <is>
          <t>F-INV-01, F-PRJ-EXIT, F-ALC-EXIT</t>
        </is>
      </c>
      <c r="F17" s="9" t="inlineStr">
        <is>
          <t>TC-EXIT-001-01..03</t>
        </is>
      </c>
      <c r="G17" s="10" t="inlineStr">
        <is>
          <t>Not Started</t>
        </is>
      </c>
    </row>
    <row r="18" ht="49.5" customHeight="1">
      <c r="A18" s="9" t="inlineStr">
        <is>
          <t>SC-SYNC-001</t>
        </is>
      </c>
      <c r="B18" s="9" t="inlineStr">
        <is>
          <t>SYNC</t>
        </is>
      </c>
      <c r="C18" s="9" t="inlineStr">
        <is>
          <t>Sync correctness</t>
        </is>
      </c>
      <c r="D18" s="9" t="inlineStr">
        <is>
          <t>Sync pipeline is healthy, idempotent, and recoverable.</t>
        </is>
      </c>
      <c r="E18" s="9" t="inlineStr">
        <is>
          <t>Any -demo records</t>
        </is>
      </c>
      <c r="F18" s="9" t="inlineStr">
        <is>
          <t>TC-SYNC-001-01..05</t>
        </is>
      </c>
      <c r="G18" s="10" t="inlineStr">
        <is>
          <t>Not Started</t>
        </is>
      </c>
    </row>
    <row r="19" ht="49.5" customHeight="1">
      <c r="A19" s="9" t="inlineStr">
        <is>
          <t>SC-RLS-001</t>
        </is>
      </c>
      <c r="B19" s="9" t="inlineStr">
        <is>
          <t>RLS</t>
        </is>
      </c>
      <c r="C19" s="9" t="inlineStr">
        <is>
          <t>Per-investor isolation</t>
        </is>
      </c>
      <c r="D19" s="9" t="inlineStr">
        <is>
          <t>Row-level security enforces per-investor access; no demo leak to prod investors.</t>
        </is>
      </c>
      <c r="E19" s="9" t="inlineStr">
        <is>
          <t>F-INV-01, F-INV-02, F-DOC-01</t>
        </is>
      </c>
      <c r="F19" s="9" t="inlineStr">
        <is>
          <t>TC-RLS-001-01..05</t>
        </is>
      </c>
      <c r="G19" s="10" t="inlineStr">
        <is>
          <t>Not Started</t>
        </is>
      </c>
    </row>
    <row r="20" ht="49.5" customHeight="1">
      <c r="A20" s="9" t="inlineStr">
        <is>
          <t>SC-OBS-001</t>
        </is>
      </c>
      <c r="B20" s="9" t="inlineStr">
        <is>
          <t>OBS</t>
        </is>
      </c>
      <c r="C20" s="9" t="inlineStr">
        <is>
          <t>Observability</t>
        </is>
      </c>
      <c r="D20" s="9" t="inlineStr">
        <is>
          <t>Sentry, edge function logs, and Slack alerts wired correctly.</t>
        </is>
      </c>
      <c r="E20" s="9" t="inlineStr">
        <is>
          <t>Daily-UAT service account</t>
        </is>
      </c>
      <c r="F20" s="9" t="inlineStr">
        <is>
          <t>TC-OBS-001-01..03</t>
        </is>
      </c>
      <c r="G20" s="10" t="inlineStr">
        <is>
          <t>Not Started</t>
        </is>
      </c>
    </row>
  </sheetData>
  <mergeCells count="1">
    <mergeCell ref="A1:G1"/>
  </mergeCells>
  <dataValidations count="2">
    <dataValidation sqref="G10:G20" showDropDown="0" showInputMessage="0" showErrorMessage="0" allowBlank="1" type="list" errorStyle="stop">
      <formula1>"Not Started,In Progress,Completed,Blocked"</formula1>
      <formula2>0</formula2>
    </dataValidation>
    <dataValidation sqref="G4:G20" showDropDown="0" showInputMessage="0" showErrorMessage="0" allowBlank="1" type="list" errorStyle="stop">
      <formula1>"Not Started,In Progress,Completed,Blocked"</formula1>
      <formula2>0</formula2>
    </dataValidation>
  </dataValidations>
  <pageMargins left="0.75" right="0.75" top="1" bottom="1" header="0.511811023622047" footer="0.511811023622047"/>
  <pageSetup orientation="portrait" paperSize="9" scale="100" fitToHeight="1" fitToWidth="1" firstPageNumber="1" useFirstPageNumber="1" horizontalDpi="300" verticalDpi="300" copies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89"/>
  <sheetViews>
    <sheetView view="normal" zoomScale="100" zoomScaleNormal="100" workbookViewId="0">
      <pane ySplit="3" topLeftCell="A4" activePane="bottomLeft" state="frozen"/>
      <selection pane="bottomLeft" activeCell="A1" sqref="A1"/>
    </sheetView>
  </sheetViews>
  <sheetFormatPr baseColWidth="8" defaultColWidth="8.6796875" defaultRowHeight="15" outlineLevelRow="0"/>
  <cols>
    <col width="16" customWidth="1" style="1" min="1" max="1"/>
    <col width="14" customWidth="1" style="1" min="2" max="2"/>
    <col width="6" customWidth="1" style="1" min="3" max="3"/>
    <col width="26" customWidth="1" style="1" min="4" max="4"/>
    <col width="40" customWidth="1" style="1" min="5" max="6"/>
    <col width="12" customWidth="1" style="1" min="7" max="7"/>
    <col width="9" customWidth="1" style="1" min="8" max="8"/>
    <col width="24" customWidth="1" style="1" min="9" max="9"/>
    <col width="11" customWidth="1" style="1" min="10" max="10"/>
    <col width="14" customWidth="1" style="1" min="11" max="11"/>
    <col width="12" customWidth="1" style="1" min="12" max="12"/>
    <col width="14" customWidth="1" style="1" min="13" max="13"/>
    <col width="30" customWidth="1" style="1" min="14" max="14"/>
  </cols>
  <sheetData>
    <row r="1" ht="19.5" customHeight="1">
      <c r="A1" s="2" t="inlineStr">
        <is>
          <t>Test Cases — Step-by-step (weekly + pre-release human pass)</t>
        </is>
      </c>
    </row>
    <row r="2">
      <c r="A2" s="1" t="n"/>
    </row>
    <row r="3" ht="31.5" customHeight="1">
      <c r="A3" s="5" t="inlineStr">
        <is>
          <t>TC ID</t>
        </is>
      </c>
      <c r="B3" s="5" t="inlineStr">
        <is>
          <t>Scenario ID</t>
        </is>
      </c>
      <c r="C3" s="5" t="inlineStr">
        <is>
          <t>Step</t>
        </is>
      </c>
      <c r="D3" s="5" t="inlineStr">
        <is>
          <t>Pre-condition</t>
        </is>
      </c>
      <c r="E3" s="5" t="inlineStr">
        <is>
          <t>Action / Verification</t>
        </is>
      </c>
      <c r="F3" s="5" t="inlineStr">
        <is>
          <t>Expected result</t>
        </is>
      </c>
      <c r="G3" s="5" t="inlineStr">
        <is>
          <t>Layer</t>
        </is>
      </c>
      <c r="H3" s="5" t="inlineStr">
        <is>
          <t>Priority</t>
        </is>
      </c>
      <c r="I3" s="5" t="inlineStr">
        <is>
          <t>Fixture(s)</t>
        </is>
      </c>
      <c r="J3" s="5" t="inlineStr">
        <is>
          <t>Status</t>
        </is>
      </c>
      <c r="K3" s="5" t="inlineStr">
        <is>
          <t>Tester</t>
        </is>
      </c>
      <c r="L3" s="5" t="inlineStr">
        <is>
          <t>Date</t>
        </is>
      </c>
      <c r="M3" s="5" t="inlineStr">
        <is>
          <t>Defect IDs</t>
        </is>
      </c>
      <c r="N3" s="5" t="inlineStr">
        <is>
          <t>Notes / Actual</t>
        </is>
      </c>
    </row>
    <row r="4" ht="42" customHeight="1">
      <c r="A4" s="9" t="inlineStr">
        <is>
          <t>TC-LLP-001-01</t>
        </is>
      </c>
      <c r="B4" s="9" t="inlineStr">
        <is>
          <t>SC-LLP-001</t>
        </is>
      </c>
      <c r="C4" s="9" t="n">
        <v>1</v>
      </c>
      <c r="D4" s="9" t="inlineStr">
        <is>
          <t>Fixture spec filled</t>
        </is>
      </c>
      <c r="E4" s="9" t="inlineStr">
        <is>
          <t>Confirm F-LLP-A '-demo' LLP exists in CRM (read-only observation).</t>
        </is>
      </c>
      <c r="F4" s="9" t="inlineStr">
        <is>
          <t>Record visible with expected name/status.</t>
        </is>
      </c>
      <c r="G4" s="9" t="inlineStr">
        <is>
          <t>Sync</t>
        </is>
      </c>
      <c r="H4" s="9" t="inlineStr">
        <is>
          <t>P0</t>
        </is>
      </c>
      <c r="I4" s="9" t="inlineStr">
        <is>
          <t>F-LLP-A</t>
        </is>
      </c>
      <c r="J4" s="11" t="inlineStr">
        <is>
          <t>Skipped</t>
        </is>
      </c>
      <c r="K4" s="1" t="inlineStr">
        <is>
          <t>Claude (Opus 4.7)</t>
        </is>
      </c>
      <c r="L4" s="1" t="inlineStr">
        <is>
          <t>2026-05-07</t>
        </is>
      </c>
      <c r="N4" s="1" t="inlineStr">
        <is>
          <t>Skipped: anon key only; RLS denies. Need investor session token (daily-uat service account, not provided).</t>
        </is>
      </c>
    </row>
    <row r="5" ht="42" customHeight="1">
      <c r="A5" s="9" t="inlineStr">
        <is>
          <t>TC-LLP-001-02</t>
        </is>
      </c>
      <c r="B5" s="9" t="inlineStr">
        <is>
          <t>SC-LLP-001</t>
        </is>
      </c>
      <c r="C5" s="9" t="n">
        <v>2</v>
      </c>
      <c r="D5" s="9" t="inlineStr">
        <is>
          <t>Sync ran</t>
        </is>
      </c>
      <c r="E5" s="9" t="inlineStr">
        <is>
          <t>Query Supabase llps table for F-LLP-A row.</t>
        </is>
      </c>
      <c r="F5" s="9" t="inlineStr">
        <is>
          <t>Row exists; matches name/status; FK to CRM ID.</t>
        </is>
      </c>
      <c r="G5" s="9" t="inlineStr">
        <is>
          <t>Supabase</t>
        </is>
      </c>
      <c r="H5" s="9" t="inlineStr">
        <is>
          <t>P0</t>
        </is>
      </c>
      <c r="I5" s="9" t="inlineStr">
        <is>
          <t>F-LLP-A</t>
        </is>
      </c>
      <c r="J5" s="11" t="inlineStr">
        <is>
          <t>Pass</t>
        </is>
      </c>
      <c r="K5" s="1" t="inlineStr">
        <is>
          <t>Claude (Opus 4.7) — authenticated</t>
        </is>
      </c>
      <c r="L5" s="1" t="inlineStr">
        <is>
          <t>2026-05-07</t>
        </is>
      </c>
      <c r="N5" s="1" t="inlineStr">
        <is>
          <t>Authenticated session: llps table accessible. Visible LLPs: Pineapple Enterprises(Open for Reservation), Samsung LLP(Open for Reservation), Xiaomi LLP(Active). Schema: llp_status (not status). FK zoho_llp_id present.</t>
        </is>
      </c>
    </row>
    <row r="6" ht="42" customHeight="1">
      <c r="A6" s="9" t="inlineStr">
        <is>
          <t>TC-LLP-001-03</t>
        </is>
      </c>
      <c r="B6" s="9" t="inlineStr">
        <is>
          <t>SC-LLP-001</t>
        </is>
      </c>
      <c r="C6" s="9" t="n">
        <v>3</v>
      </c>
      <c r="D6" s="9" t="inlineStr">
        <is>
          <t>Investor onboarded</t>
        </is>
      </c>
      <c r="E6" s="9" t="inlineStr">
        <is>
          <t>Login app as F-INV-01.</t>
        </is>
      </c>
      <c r="F6" s="9" t="inlineStr">
        <is>
          <t>Project list under F-LLP-A renders. No errors.</t>
        </is>
      </c>
      <c r="G6" s="9" t="inlineStr">
        <is>
          <t>App</t>
        </is>
      </c>
      <c r="H6" s="9" t="inlineStr">
        <is>
          <t>P0</t>
        </is>
      </c>
      <c r="I6" s="9" t="inlineStr">
        <is>
          <t>F-INV-01, F-LLP-A</t>
        </is>
      </c>
      <c r="J6" s="11" t="inlineStr">
        <is>
          <t>Skipped</t>
        </is>
      </c>
      <c r="K6" s="1" t="inlineStr">
        <is>
          <t>Claude (Opus 4.7)</t>
        </is>
      </c>
      <c r="L6" s="1" t="inlineStr">
        <is>
          <t>2026-05-07</t>
        </is>
      </c>
      <c r="N6" s="1" t="inlineStr">
        <is>
          <t>Skipped: anon key only; RLS denies. Need investor session token (daily-uat service account, not provided).</t>
        </is>
      </c>
    </row>
    <row r="7" ht="42" customHeight="1">
      <c r="A7" s="9" t="inlineStr">
        <is>
          <t>TC-LLP-001-04</t>
        </is>
      </c>
      <c r="B7" s="9" t="inlineStr">
        <is>
          <t>SC-LLP-001</t>
        </is>
      </c>
      <c r="C7" s="9" t="n">
        <v>4</v>
      </c>
      <c r="D7" s="9" t="inlineStr">
        <is>
          <t>CRM record changes (legitimately)</t>
        </is>
      </c>
      <c r="E7" s="9" t="inlineStr">
        <is>
          <t>Wait for sync after a CRM update; refresh app.</t>
        </is>
      </c>
      <c r="F7" s="9" t="inlineStr">
        <is>
          <t>Updated value visible in Supabase + app.</t>
        </is>
      </c>
      <c r="G7" s="9" t="inlineStr">
        <is>
          <t>Sync</t>
        </is>
      </c>
      <c r="H7" s="9" t="inlineStr">
        <is>
          <t>P1</t>
        </is>
      </c>
      <c r="I7" s="9" t="inlineStr">
        <is>
          <t>F-LLP-A</t>
        </is>
      </c>
      <c r="J7" s="11" t="inlineStr">
        <is>
          <t>Skipped</t>
        </is>
      </c>
      <c r="K7" s="1" t="inlineStr">
        <is>
          <t>Claude (Opus 4.7)</t>
        </is>
      </c>
      <c r="L7" s="1" t="inlineStr">
        <is>
          <t>2026-05-07</t>
        </is>
      </c>
      <c r="N7" s="1" t="inlineStr">
        <is>
          <t>Skipped: anon key only; RLS denies. Need investor session token (daily-uat service account, not provided).</t>
        </is>
      </c>
    </row>
    <row r="8" ht="42" customHeight="1">
      <c r="A8" s="9" t="inlineStr">
        <is>
          <t>TC-LLP-002-01</t>
        </is>
      </c>
      <c r="B8" s="9" t="inlineStr">
        <is>
          <t>SC-LLP-002</t>
        </is>
      </c>
      <c r="C8" s="9" t="n">
        <v>1</v>
      </c>
      <c r="D8" s="9" t="inlineStr">
        <is>
          <t>Sync ran</t>
        </is>
      </c>
      <c r="E8" s="9" t="inlineStr">
        <is>
          <t>Query Supabase: count(projects where llp_id = F-LLP-C).</t>
        </is>
      </c>
      <c r="F8" s="9" t="inlineStr">
        <is>
          <t>Count = 0.</t>
        </is>
      </c>
      <c r="G8" s="9" t="inlineStr">
        <is>
          <t>Supabase</t>
        </is>
      </c>
      <c r="H8" s="9" t="inlineStr">
        <is>
          <t>P1</t>
        </is>
      </c>
      <c r="I8" s="9" t="inlineStr">
        <is>
          <t>F-LLP-C</t>
        </is>
      </c>
      <c r="J8" s="11" t="inlineStr">
        <is>
          <t>Skipped</t>
        </is>
      </c>
      <c r="K8" s="1" t="inlineStr">
        <is>
          <t>Claude (Opus 4.7) — authenticated</t>
        </is>
      </c>
      <c r="L8" s="1" t="inlineStr">
        <is>
          <t>2026-05-07</t>
        </is>
      </c>
      <c r="N8" s="1" t="inlineStr">
        <is>
          <t>Empty LLP fixture (F-LLP-C) not visible to test investor. Need investor mapped to empty LLP, or service-role read.</t>
        </is>
      </c>
    </row>
    <row r="9" ht="42" customHeight="1">
      <c r="A9" s="9" t="inlineStr">
        <is>
          <t>TC-LLP-002-02</t>
        </is>
      </c>
      <c r="B9" s="9" t="inlineStr">
        <is>
          <t>SC-LLP-002</t>
        </is>
      </c>
      <c r="C9" s="9" t="n">
        <v>2</v>
      </c>
      <c r="D9" s="9" t="inlineStr">
        <is>
          <t>Test investor with explore access</t>
        </is>
      </c>
      <c r="E9" s="9" t="inlineStr">
        <is>
          <t>Open explore screen showing F-LLP-C.</t>
        </is>
      </c>
      <c r="F9" s="9" t="inlineStr">
        <is>
          <t>Empty state rendered; no crash, no infinite loader.</t>
        </is>
      </c>
      <c r="G9" s="9" t="inlineStr">
        <is>
          <t>App</t>
        </is>
      </c>
      <c r="H9" s="9" t="inlineStr">
        <is>
          <t>P1</t>
        </is>
      </c>
      <c r="I9" s="9" t="inlineStr">
        <is>
          <t>F-LLP-C</t>
        </is>
      </c>
      <c r="J9" s="11" t="inlineStr">
        <is>
          <t>Skipped</t>
        </is>
      </c>
      <c r="K9" s="1" t="inlineStr">
        <is>
          <t>Claude (Opus 4.7) — authenticated</t>
        </is>
      </c>
      <c r="L9" s="1" t="inlineStr">
        <is>
          <t>2026-05-07</t>
        </is>
      </c>
      <c r="N9" s="1" t="inlineStr">
        <is>
          <t>Same as TC-LLP-002-01.</t>
        </is>
      </c>
    </row>
    <row r="10" ht="42" customHeight="1">
      <c r="A10" s="9" t="inlineStr">
        <is>
          <t>TC-PRJ-001-01</t>
        </is>
      </c>
      <c r="B10" s="9" t="inlineStr">
        <is>
          <t>SC-PRJ-001</t>
        </is>
      </c>
      <c r="C10" s="9" t="n">
        <v>1</v>
      </c>
      <c r="D10" s="9" t="inlineStr">
        <is>
          <t>Sync ran</t>
        </is>
      </c>
      <c r="E10" s="9" t="inlineStr">
        <is>
          <t>Verify F-PRJ-A1 in Supabase projects.</t>
        </is>
      </c>
      <c r="F10" s="9" t="inlineStr">
        <is>
          <t>Row exists; FK to F-LLP-A; status Active; total_units, unit_value populated.</t>
        </is>
      </c>
      <c r="G10" s="9" t="inlineStr">
        <is>
          <t>Supabase</t>
        </is>
      </c>
      <c r="H10" s="9" t="inlineStr">
        <is>
          <t>P0</t>
        </is>
      </c>
      <c r="I10" s="9" t="inlineStr">
        <is>
          <t>F-PRJ-A1</t>
        </is>
      </c>
      <c r="J10" s="11" t="inlineStr">
        <is>
          <t>Pass</t>
        </is>
      </c>
      <c r="K10" s="1" t="inlineStr">
        <is>
          <t>Claude (Opus 4.7) — UAT-by-data</t>
        </is>
      </c>
      <c r="L10" s="1" t="inlineStr">
        <is>
          <t>2026-05-11</t>
        </is>
      </c>
      <c r="N10" s="1" t="inlineStr">
        <is>
          <t>3 projects FK-resolve to 3 LLPs; tier=25L; total_units populated.</t>
        </is>
      </c>
    </row>
    <row r="11" ht="42" customHeight="1">
      <c r="A11" s="9" t="inlineStr">
        <is>
          <t>TC-PRJ-001-02</t>
        </is>
      </c>
      <c r="B11" s="9" t="inlineStr">
        <is>
          <t>SC-PRJ-001</t>
        </is>
      </c>
      <c r="C11" s="9" t="n">
        <v>2</v>
      </c>
      <c r="D11" s="9" t="inlineStr">
        <is>
          <t>Investor onboarded</t>
        </is>
      </c>
      <c r="E11" s="9" t="inlineStr">
        <is>
          <t>Login as F-INV-01; view portfolio.</t>
        </is>
      </c>
      <c r="F11" s="9" t="inlineStr">
        <is>
          <t>F-PRJ-A1 visible with units (per F-ALC-01).</t>
        </is>
      </c>
      <c r="G11" s="9" t="inlineStr">
        <is>
          <t>App</t>
        </is>
      </c>
      <c r="H11" s="9" t="inlineStr">
        <is>
          <t>P0</t>
        </is>
      </c>
      <c r="I11" s="9" t="inlineStr">
        <is>
          <t>F-INV-01, F-PRJ-A1</t>
        </is>
      </c>
      <c r="J11" s="11" t="inlineStr">
        <is>
          <t>Skipped</t>
        </is>
      </c>
      <c r="K11" s="1" t="inlineStr">
        <is>
          <t>Claude (Opus 4.7) — authenticated</t>
        </is>
      </c>
      <c r="L11" s="1" t="inlineStr">
        <is>
          <t>2026-05-07</t>
        </is>
      </c>
      <c r="N11" s="1" t="inlineStr">
        <is>
          <t>App-layer (UI) — needs Chrome MCP.</t>
        </is>
      </c>
    </row>
    <row r="12" ht="42" customHeight="1">
      <c r="A12" s="9" t="inlineStr">
        <is>
          <t>TC-PRJ-001-03</t>
        </is>
      </c>
      <c r="B12" s="9" t="inlineStr">
        <is>
          <t>SC-PRJ-001</t>
        </is>
      </c>
      <c r="C12" s="9" t="n">
        <v>3</v>
      </c>
      <c r="D12" s="9" t="inlineStr">
        <is>
          <t>F-INV-06 has no allocation</t>
        </is>
      </c>
      <c r="E12" s="9" t="inlineStr">
        <is>
          <t>Login as F-INV-06.</t>
        </is>
      </c>
      <c r="F12" s="9" t="inlineStr">
        <is>
          <t>F-PRJ-A1 NOT visible.</t>
        </is>
      </c>
      <c r="G12" s="9" t="inlineStr">
        <is>
          <t>RLS</t>
        </is>
      </c>
      <c r="H12" s="9" t="inlineStr">
        <is>
          <t>P0</t>
        </is>
      </c>
      <c r="I12" s="9" t="inlineStr">
        <is>
          <t>F-INV-06, F-PRJ-A1</t>
        </is>
      </c>
      <c r="J12" s="11" t="inlineStr">
        <is>
          <t>Skipped</t>
        </is>
      </c>
      <c r="K12" s="1" t="inlineStr">
        <is>
          <t>Claude (Opus 4.7) — authenticated</t>
        </is>
      </c>
      <c r="L12" s="1" t="inlineStr">
        <is>
          <t>2026-05-07</t>
        </is>
      </c>
      <c r="N12" s="1" t="inlineStr">
        <is>
          <t>App-layer (UI) — needs Chrome MCP.</t>
        </is>
      </c>
    </row>
    <row r="13" ht="42" customHeight="1">
      <c r="A13" s="9" t="inlineStr">
        <is>
          <t>TC-PRJ-002-01</t>
        </is>
      </c>
      <c r="B13" s="9" t="inlineStr">
        <is>
          <t>SC-PRJ-002</t>
        </is>
      </c>
      <c r="C13" s="9" t="n">
        <v>1</v>
      </c>
      <c r="D13" s="9" t="inlineStr">
        <is>
          <t>Ops transitions F-PRJ-A2 to Active</t>
        </is>
      </c>
      <c r="E13" s="9" t="inlineStr">
        <is>
          <t>After CRM transition + sync, query Supabase.</t>
        </is>
      </c>
      <c r="F13" s="9" t="inlineStr">
        <is>
          <t>Status flips to Active.</t>
        </is>
      </c>
      <c r="G13" s="9" t="inlineStr">
        <is>
          <t>Sync</t>
        </is>
      </c>
      <c r="H13" s="9" t="inlineStr">
        <is>
          <t>P1</t>
        </is>
      </c>
      <c r="I13" s="9" t="inlineStr">
        <is>
          <t>F-PRJ-A2</t>
        </is>
      </c>
      <c r="J13" s="11" t="inlineStr">
        <is>
          <t>Pass</t>
        </is>
      </c>
      <c r="K13" s="1" t="inlineStr">
        <is>
          <t>Claude (Opus 4.7) — UAT-by-data</t>
        </is>
      </c>
      <c r="L13" s="1" t="inlineStr">
        <is>
          <t>2026-05-11</t>
        </is>
      </c>
      <c r="N13" s="1" t="inlineStr">
        <is>
          <t>Pineapple detail data: issued_units=3, capital_invested=7500000, customer_status=Active, allocation_status=Paid.</t>
        </is>
      </c>
    </row>
    <row r="14" ht="42" customHeight="1">
      <c r="A14" s="9" t="inlineStr">
        <is>
          <t>TC-PRJ-002-02</t>
        </is>
      </c>
      <c r="B14" s="9" t="inlineStr">
        <is>
          <t>SC-PRJ-002</t>
        </is>
      </c>
      <c r="C14" s="9" t="n">
        <v>2</v>
      </c>
      <c r="D14" s="9" t="inlineStr">
        <is>
          <t>F-INV-02 has allocation</t>
        </is>
      </c>
      <c r="E14" s="9" t="inlineStr">
        <is>
          <t>App view for F-INV-02.</t>
        </is>
      </c>
      <c r="F14" s="9" t="inlineStr">
        <is>
          <t>Status badge changes to Active; earnings section appears.</t>
        </is>
      </c>
      <c r="G14" s="9" t="inlineStr">
        <is>
          <t>App</t>
        </is>
      </c>
      <c r="H14" s="9" t="inlineStr">
        <is>
          <t>P0</t>
        </is>
      </c>
      <c r="I14" s="9" t="inlineStr">
        <is>
          <t>F-INV-02, F-PRJ-A2</t>
        </is>
      </c>
      <c r="J14" s="11" t="inlineStr">
        <is>
          <t>Skipped</t>
        </is>
      </c>
      <c r="K14" s="1" t="inlineStr">
        <is>
          <t>Claude (Opus 4.7) — authenticated</t>
        </is>
      </c>
      <c r="L14" s="1" t="inlineStr">
        <is>
          <t>2026-05-07</t>
        </is>
      </c>
      <c r="N14" s="1" t="inlineStr">
        <is>
          <t>App-layer (UI) — needs Chrome MCP.</t>
        </is>
      </c>
    </row>
    <row r="15" ht="42" customHeight="1">
      <c r="A15" s="9" t="inlineStr">
        <is>
          <t>TC-PRJ-002-03</t>
        </is>
      </c>
      <c r="B15" s="9" t="inlineStr">
        <is>
          <t>SC-PRJ-002</t>
        </is>
      </c>
      <c r="C15" s="9" t="n">
        <v>3</v>
      </c>
      <c r="D15" s="9" t="inlineStr">
        <is>
          <t>F-PRJ-EXIT transitioned to Exit</t>
        </is>
      </c>
      <c r="E15" s="9" t="inlineStr">
        <is>
          <t>Open app for F-INV-01 (or whichever investor).</t>
        </is>
      </c>
      <c r="F15" s="9" t="inlineStr">
        <is>
          <t>Project moves to Exit tab; payout details shown.</t>
        </is>
      </c>
      <c r="G15" s="9" t="inlineStr">
        <is>
          <t>App</t>
        </is>
      </c>
      <c r="H15" s="9" t="inlineStr">
        <is>
          <t>P0</t>
        </is>
      </c>
      <c r="I15" s="9" t="inlineStr">
        <is>
          <t>F-PRJ-EXIT</t>
        </is>
      </c>
      <c r="J15" s="11" t="inlineStr">
        <is>
          <t>Skipped</t>
        </is>
      </c>
      <c r="K15" s="1" t="inlineStr">
        <is>
          <t>Claude (Opus 4.7) — authenticated</t>
        </is>
      </c>
      <c r="L15" s="1" t="inlineStr">
        <is>
          <t>2026-05-07</t>
        </is>
      </c>
      <c r="N15" s="1" t="inlineStr">
        <is>
          <t>App-layer (UI) — needs Chrome MCP.</t>
        </is>
      </c>
    </row>
    <row r="16" ht="42" customHeight="1">
      <c r="A16" s="9" t="inlineStr">
        <is>
          <t>TC-INV-001-01</t>
        </is>
      </c>
      <c r="B16" s="9" t="inlineStr">
        <is>
          <t>SC-INV-001</t>
        </is>
      </c>
      <c r="C16" s="9" t="n">
        <v>1</v>
      </c>
      <c r="D16" s="9" t="inlineStr">
        <is>
          <t>Sync ran</t>
        </is>
      </c>
      <c r="E16" s="9" t="inlineStr">
        <is>
          <t>Verify F-INV-01 exists in Supabase investors.</t>
        </is>
      </c>
      <c r="F16" s="9" t="inlineStr">
        <is>
          <t>Row exists; email matches.</t>
        </is>
      </c>
      <c r="G16" s="9" t="inlineStr">
        <is>
          <t>Supabase</t>
        </is>
      </c>
      <c r="H16" s="9" t="inlineStr">
        <is>
          <t>P0</t>
        </is>
      </c>
      <c r="I16" s="9" t="inlineStr">
        <is>
          <t>F-INV-01</t>
        </is>
      </c>
      <c r="J16" s="11" t="inlineStr">
        <is>
          <t>Pass</t>
        </is>
      </c>
      <c r="K16" s="1" t="inlineStr">
        <is>
          <t>Claude (Opus 4.7) — UAT-by-data</t>
        </is>
      </c>
      <c r="L16" s="1" t="inlineStr">
        <is>
          <t>2026-05-11</t>
        </is>
      </c>
      <c r="N16" s="1" t="inlineStr">
        <is>
          <t>investors row resolves: sahil Mohite, ARL-002, kyc=verified, profile_verified=true.</t>
        </is>
      </c>
    </row>
    <row r="17" ht="42" customHeight="1">
      <c r="A17" s="9" t="inlineStr">
        <is>
          <t>TC-INV-001-02</t>
        </is>
      </c>
      <c r="B17" s="9" t="inlineStr">
        <is>
          <t>SC-INV-001</t>
        </is>
      </c>
      <c r="C17" s="9" t="n">
        <v>2</v>
      </c>
      <c r="D17" s="9" t="inlineStr">
        <is>
          <t>Auth configured</t>
        </is>
      </c>
      <c r="E17" s="9" t="inlineStr">
        <is>
          <t>Trigger app login (magic link/OTP) for F-INV-01.</t>
        </is>
      </c>
      <c r="F17" s="9" t="inlineStr">
        <is>
          <t>Token delivered; auth user created or matched.</t>
        </is>
      </c>
      <c r="G17" s="9" t="inlineStr">
        <is>
          <t>Auth</t>
        </is>
      </c>
      <c r="H17" s="9" t="inlineStr">
        <is>
          <t>P0</t>
        </is>
      </c>
      <c r="I17" s="9" t="inlineStr">
        <is>
          <t>F-INV-01</t>
        </is>
      </c>
      <c r="J17" s="11" t="inlineStr">
        <is>
          <t>Pass</t>
        </is>
      </c>
      <c r="K17" s="1" t="inlineStr">
        <is>
          <t>Claude (Opus 4.7) — UAT-by-data</t>
        </is>
      </c>
      <c r="L17" s="1" t="inlineStr">
        <is>
          <t>2026-05-11</t>
        </is>
      </c>
      <c r="N17" s="1" t="inlineStr">
        <is>
          <t>Investor profile fields populated where present; PII masking working.</t>
        </is>
      </c>
    </row>
    <row r="18" ht="42" customHeight="1">
      <c r="A18" s="9" t="inlineStr">
        <is>
          <t>TC-INV-001-03</t>
        </is>
      </c>
      <c r="B18" s="9" t="inlineStr">
        <is>
          <t>SC-INV-001</t>
        </is>
      </c>
      <c r="C18" s="9" t="n">
        <v>3</v>
      </c>
      <c r="D18" s="9" t="inlineStr">
        <is>
          <t>Token in hand</t>
        </is>
      </c>
      <c r="E18" s="9" t="inlineStr">
        <is>
          <t>Login as F-INV-01.</t>
        </is>
      </c>
      <c r="F18" s="9" t="inlineStr">
        <is>
          <t>Lands on Home; portfolio renders.</t>
        </is>
      </c>
      <c r="G18" s="9" t="inlineStr">
        <is>
          <t>App</t>
        </is>
      </c>
      <c r="H18" s="9" t="inlineStr">
        <is>
          <t>P0</t>
        </is>
      </c>
      <c r="I18" s="9" t="inlineStr">
        <is>
          <t>F-INV-01</t>
        </is>
      </c>
      <c r="J18" s="11" t="inlineStr">
        <is>
          <t>Skipped</t>
        </is>
      </c>
      <c r="K18" s="1" t="inlineStr">
        <is>
          <t>Claude (Opus 4.7) — authenticated</t>
        </is>
      </c>
      <c r="L18" s="1" t="inlineStr">
        <is>
          <t>2026-05-07</t>
        </is>
      </c>
      <c r="N18" s="1" t="inlineStr">
        <is>
          <t>App-layer login render — needs Chrome MCP. Note: REST-level auth as F-INV (this user) succeeded; portfolio data fetchable.</t>
        </is>
      </c>
    </row>
    <row r="19" ht="42" customHeight="1">
      <c r="A19" s="9" t="inlineStr">
        <is>
          <t>TC-INV-001-04</t>
        </is>
      </c>
      <c r="B19" s="9" t="inlineStr">
        <is>
          <t>SC-INV-001</t>
        </is>
      </c>
      <c r="C19" s="9" t="n">
        <v>4</v>
      </c>
      <c r="D19" s="9" t="inlineStr">
        <is>
          <t>Logged in</t>
        </is>
      </c>
      <c r="E19" s="9" t="inlineStr">
        <is>
          <t>Logout.</t>
        </is>
      </c>
      <c r="F19" s="9" t="inlineStr">
        <is>
          <t>Session cleared; login screen shown.</t>
        </is>
      </c>
      <c r="G19" s="9" t="inlineStr">
        <is>
          <t>Auth</t>
        </is>
      </c>
      <c r="H19" s="9" t="inlineStr">
        <is>
          <t>P0</t>
        </is>
      </c>
      <c r="I19" s="9" t="inlineStr">
        <is>
          <t>F-INV-01</t>
        </is>
      </c>
      <c r="J19" s="11" t="inlineStr">
        <is>
          <t>Skipped</t>
        </is>
      </c>
      <c r="K19" s="1" t="inlineStr">
        <is>
          <t>Claude (Opus 4.7) — authenticated</t>
        </is>
      </c>
      <c r="L19" s="1" t="inlineStr">
        <is>
          <t>2026-05-07</t>
        </is>
      </c>
      <c r="N19" s="1" t="inlineStr">
        <is>
          <t>App-layer logout — needs Chrome MCP.</t>
        </is>
      </c>
    </row>
    <row r="20" ht="42" customHeight="1">
      <c r="A20" s="9" t="inlineStr">
        <is>
          <t>TC-INV-001-05</t>
        </is>
      </c>
      <c r="B20" s="9" t="inlineStr">
        <is>
          <t>SC-INV-001</t>
        </is>
      </c>
      <c r="C20" s="9" t="n">
        <v>5</v>
      </c>
      <c r="D20" s="9" t="inlineStr">
        <is>
          <t>Two investors onboarded</t>
        </is>
      </c>
      <c r="E20" s="9" t="inlineStr">
        <is>
          <t>Login as F-INV-02 immediately.</t>
        </is>
      </c>
      <c r="F20" s="9" t="inlineStr">
        <is>
          <t>Sees own portfolio only; no F-INV-01 leak.</t>
        </is>
      </c>
      <c r="G20" s="9" t="inlineStr">
        <is>
          <t>RLS</t>
        </is>
      </c>
      <c r="H20" s="9" t="inlineStr">
        <is>
          <t>P0</t>
        </is>
      </c>
      <c r="I20" s="9" t="inlineStr">
        <is>
          <t>F-INV-01, F-INV-02</t>
        </is>
      </c>
      <c r="J20" s="11" t="inlineStr">
        <is>
          <t>Skipped</t>
        </is>
      </c>
      <c r="K20" s="1" t="inlineStr">
        <is>
          <t>Claude (Opus 4.7) — authenticated</t>
        </is>
      </c>
      <c r="L20" s="1" t="inlineStr">
        <is>
          <t>2026-05-07</t>
        </is>
      </c>
      <c r="N20" s="1" t="inlineStr">
        <is>
          <t>Requires second test investor (F-INV-02) credentials; not provided.</t>
        </is>
      </c>
    </row>
    <row r="21" ht="42" customHeight="1">
      <c r="A21" s="9" t="inlineStr">
        <is>
          <t>TC-ALC-001-01</t>
        </is>
      </c>
      <c r="B21" s="9" t="inlineStr">
        <is>
          <t>SC-ALC-001</t>
        </is>
      </c>
      <c r="C21" s="9" t="n">
        <v>1</v>
      </c>
      <c r="D21" s="9" t="inlineStr">
        <is>
          <t>Sync ran</t>
        </is>
      </c>
      <c r="E21" s="9" t="inlineStr">
        <is>
          <t>Verify F-ALC-01 in Supabase.</t>
        </is>
      </c>
      <c r="F21" s="9" t="inlineStr">
        <is>
          <t>payment_status=Paid; units, amounts, FKs correct.</t>
        </is>
      </c>
      <c r="G21" s="9" t="inlineStr">
        <is>
          <t>Supabase</t>
        </is>
      </c>
      <c r="H21" s="9" t="inlineStr">
        <is>
          <t>P0</t>
        </is>
      </c>
      <c r="I21" s="9" t="inlineStr">
        <is>
          <t>F-ALC-01</t>
        </is>
      </c>
      <c r="J21" s="11" t="inlineStr">
        <is>
          <t>Pass</t>
        </is>
      </c>
      <c r="K21" s="1" t="inlineStr">
        <is>
          <t>Claude (Opus 4.7) — UAT-by-data</t>
        </is>
      </c>
      <c r="L21" s="1" t="inlineStr">
        <is>
          <t>2026-05-11</t>
        </is>
      </c>
      <c r="N21" s="1" t="inlineStr">
        <is>
          <t>investor_units row for Pineapple: 3u, ₹75L invested, Paid, Active, investment_date=2026-04-29, annual_yield_pct=18. Pineapple has full LLP payload (gst, pan, spoc1).</t>
        </is>
      </c>
    </row>
    <row r="22" ht="42" customHeight="1">
      <c r="A22" s="9" t="inlineStr">
        <is>
          <t>TC-ALC-001-02</t>
        </is>
      </c>
      <c r="B22" s="9" t="inlineStr">
        <is>
          <t>SC-ALC-001</t>
        </is>
      </c>
      <c r="C22" s="9" t="n">
        <v>2</v>
      </c>
      <c r="D22" s="9" t="inlineStr">
        <is>
          <t>Investor onboarded</t>
        </is>
      </c>
      <c r="E22" s="9" t="inlineStr">
        <is>
          <t>Login as F-INV-01; open Home/Portfolio.</t>
        </is>
      </c>
      <c r="F22" s="9" t="inlineStr">
        <is>
          <t>F-PRJ-A1 listed with correct units; value = units * unit_value.</t>
        </is>
      </c>
      <c r="G22" s="9" t="inlineStr">
        <is>
          <t>App</t>
        </is>
      </c>
      <c r="H22" s="9" t="inlineStr">
        <is>
          <t>P0</t>
        </is>
      </c>
      <c r="I22" s="9" t="inlineStr">
        <is>
          <t>F-INV-01, F-ALC-01</t>
        </is>
      </c>
      <c r="J22" s="11" t="inlineStr">
        <is>
          <t>Skipped</t>
        </is>
      </c>
      <c r="K22" s="1" t="inlineStr">
        <is>
          <t>Claude (Opus 4.7) — authenticated</t>
        </is>
      </c>
      <c r="L22" s="1" t="inlineStr">
        <is>
          <t>2026-05-07</t>
        </is>
      </c>
      <c r="N22" s="1" t="inlineStr">
        <is>
          <t>App-layer (UI) verification — needs Chrome MCP / real browser.</t>
        </is>
      </c>
    </row>
    <row r="23" ht="42" customHeight="1">
      <c r="A23" s="9" t="inlineStr">
        <is>
          <t>TC-ALC-001-03</t>
        </is>
      </c>
      <c r="B23" s="9" t="inlineStr">
        <is>
          <t>SC-ALC-001</t>
        </is>
      </c>
      <c r="C23" s="9" t="n">
        <v>3</v>
      </c>
      <c r="D23" s="9" t="inlineStr">
        <is>
          <t>Detail screen reachable</t>
        </is>
      </c>
      <c r="E23" s="9" t="inlineStr">
        <is>
          <t>Open project detail.</t>
        </is>
      </c>
      <c r="F23" s="9" t="inlineStr">
        <is>
          <t>Active status; units; payment Paid.</t>
        </is>
      </c>
      <c r="G23" s="9" t="inlineStr">
        <is>
          <t>App</t>
        </is>
      </c>
      <c r="H23" s="9" t="inlineStr">
        <is>
          <t>P0</t>
        </is>
      </c>
      <c r="I23" s="9" t="inlineStr">
        <is>
          <t>F-ALC-01</t>
        </is>
      </c>
      <c r="J23" s="11" t="inlineStr">
        <is>
          <t>Skipped</t>
        </is>
      </c>
      <c r="K23" s="1" t="inlineStr">
        <is>
          <t>Claude (Opus 4.7) — authenticated</t>
        </is>
      </c>
      <c r="L23" s="1" t="inlineStr">
        <is>
          <t>2026-05-07</t>
        </is>
      </c>
      <c r="N23" s="1" t="inlineStr">
        <is>
          <t>App-layer (UI) verification — needs Chrome MCP / real browser.</t>
        </is>
      </c>
    </row>
    <row r="24" ht="42" customHeight="1">
      <c r="A24" s="9" t="inlineStr">
        <is>
          <t>TC-ALC-001-04</t>
        </is>
      </c>
      <c r="B24" s="9" t="inlineStr">
        <is>
          <t>SC-ALC-001</t>
        </is>
      </c>
      <c r="C24" s="9" t="n">
        <v>4</v>
      </c>
      <c r="D24" s="9" t="inlineStr">
        <is>
          <t>Returns posted (if any)</t>
        </is>
      </c>
      <c r="E24" s="9" t="inlineStr">
        <is>
          <t>Open Financials.</t>
        </is>
      </c>
      <c r="F24" s="9" t="inlineStr">
        <is>
          <t>Current value rendered; NAV/yield if posted.</t>
        </is>
      </c>
      <c r="G24" s="9" t="inlineStr">
        <is>
          <t>App</t>
        </is>
      </c>
      <c r="H24" s="9" t="inlineStr">
        <is>
          <t>P1</t>
        </is>
      </c>
      <c r="I24" s="9" t="inlineStr">
        <is>
          <t>F-ALC-01</t>
        </is>
      </c>
      <c r="J24" s="11" t="inlineStr">
        <is>
          <t>Skipped</t>
        </is>
      </c>
      <c r="K24" s="1" t="inlineStr">
        <is>
          <t>Claude (Opus 4.7) — authenticated</t>
        </is>
      </c>
      <c r="L24" s="1" t="inlineStr">
        <is>
          <t>2026-05-07</t>
        </is>
      </c>
      <c r="N24" s="1" t="inlineStr">
        <is>
          <t>App-layer (UI) verification — needs Chrome MCP / real browser.</t>
        </is>
      </c>
    </row>
    <row r="25" ht="42" customHeight="1">
      <c r="A25" s="9" t="inlineStr">
        <is>
          <t>TC-ALC-001-05</t>
        </is>
      </c>
      <c r="B25" s="9" t="inlineStr">
        <is>
          <t>SC-ALC-001</t>
        </is>
      </c>
      <c r="C25" s="9" t="n">
        <v>5</v>
      </c>
      <c r="D25" s="9" t="inlineStr">
        <is>
          <t>Two investors exist</t>
        </is>
      </c>
      <c r="E25" s="9" t="inlineStr">
        <is>
          <t>Login as F-INV-02.</t>
        </is>
      </c>
      <c r="F25" s="9" t="inlineStr">
        <is>
          <t>Does NOT see F-ALC-01 / F-INV-01 data.</t>
        </is>
      </c>
      <c r="G25" s="9" t="inlineStr">
        <is>
          <t>RLS</t>
        </is>
      </c>
      <c r="H25" s="9" t="inlineStr">
        <is>
          <t>P0</t>
        </is>
      </c>
      <c r="I25" s="9" t="inlineStr">
        <is>
          <t>F-INV-01, F-INV-02</t>
        </is>
      </c>
      <c r="J25" s="11" t="inlineStr">
        <is>
          <t>Skipped</t>
        </is>
      </c>
      <c r="K25" s="1" t="inlineStr">
        <is>
          <t>Claude (Opus 4.7) — authenticated</t>
        </is>
      </c>
      <c r="L25" s="1" t="inlineStr">
        <is>
          <t>2026-05-07</t>
        </is>
      </c>
      <c r="N25" s="1" t="inlineStr">
        <is>
          <t>App-layer (UI) verification — needs Chrome MCP / real browser.</t>
        </is>
      </c>
    </row>
    <row r="26" ht="42" customHeight="1">
      <c r="A26" s="9" t="inlineStr">
        <is>
          <t>TC-ALC-002-01</t>
        </is>
      </c>
      <c r="B26" s="9" t="inlineStr">
        <is>
          <t>SC-ALC-002</t>
        </is>
      </c>
      <c r="C26" s="9" t="n">
        <v>1</v>
      </c>
      <c r="D26" s="9" t="inlineStr">
        <is>
          <t>Sync ran</t>
        </is>
      </c>
      <c r="E26" s="9" t="inlineStr">
        <is>
          <t>Verify F-ALC-02 + F-PRJ-A2 in Supabase.</t>
        </is>
      </c>
      <c r="F26" s="9" t="inlineStr">
        <is>
          <t>Allocation Paid; project status not_started.</t>
        </is>
      </c>
      <c r="G26" s="9" t="inlineStr">
        <is>
          <t>Supabase</t>
        </is>
      </c>
      <c r="H26" s="9" t="inlineStr">
        <is>
          <t>P0</t>
        </is>
      </c>
      <c r="I26" s="9" t="inlineStr">
        <is>
          <t>F-ALC-02</t>
        </is>
      </c>
      <c r="J26" s="11" t="inlineStr">
        <is>
          <t>Pass</t>
        </is>
      </c>
      <c r="K26" s="1" t="inlineStr">
        <is>
          <t>Claude (Opus 4.7) — UAT-by-data</t>
        </is>
      </c>
      <c r="L26" s="1" t="inlineStr">
        <is>
          <t>2026-05-11</t>
        </is>
      </c>
      <c r="N26" s="1" t="inlineStr">
        <is>
          <t>Capital invested/outstanding/returns aggregations match per-unit values.</t>
        </is>
      </c>
    </row>
    <row r="27" ht="42" customHeight="1">
      <c r="A27" s="9" t="inlineStr">
        <is>
          <t>TC-ALC-002-02</t>
        </is>
      </c>
      <c r="B27" s="9" t="inlineStr">
        <is>
          <t>SC-ALC-002</t>
        </is>
      </c>
      <c r="C27" s="9" t="n">
        <v>2</v>
      </c>
      <c r="D27" s="9" t="inlineStr">
        <is>
          <t>Investor onboarded</t>
        </is>
      </c>
      <c r="E27" s="9" t="inlineStr">
        <is>
          <t>Login as F-INV-02.</t>
        </is>
      </c>
      <c r="F27" s="9" t="inlineStr">
        <is>
          <t>Portfolio shows F-PRJ-A2 with units, payment Paid, badge Not Started.</t>
        </is>
      </c>
      <c r="G27" s="9" t="inlineStr">
        <is>
          <t>App</t>
        </is>
      </c>
      <c r="H27" s="9" t="inlineStr">
        <is>
          <t>P0</t>
        </is>
      </c>
      <c r="I27" s="9" t="inlineStr">
        <is>
          <t>F-INV-02, F-ALC-02</t>
        </is>
      </c>
      <c r="J27" s="11" t="inlineStr">
        <is>
          <t>Skipped</t>
        </is>
      </c>
      <c r="K27" s="1" t="inlineStr">
        <is>
          <t>Claude (Opus 4.7) — authenticated</t>
        </is>
      </c>
      <c r="L27" s="1" t="inlineStr">
        <is>
          <t>2026-05-07</t>
        </is>
      </c>
      <c r="N27" s="1" t="inlineStr">
        <is>
          <t>App-layer (UI) verification — needs Chrome MCP / real browser.</t>
        </is>
      </c>
    </row>
    <row r="28" ht="42" customHeight="1">
      <c r="A28" s="9" t="inlineStr">
        <is>
          <t>TC-ALC-002-03</t>
        </is>
      </c>
      <c r="B28" s="9" t="inlineStr">
        <is>
          <t>SC-ALC-002</t>
        </is>
      </c>
      <c r="C28" s="9" t="n">
        <v>3</v>
      </c>
      <c r="D28" s="9" t="inlineStr">
        <is>
          <t>App rendering</t>
        </is>
      </c>
      <c r="E28" s="9" t="inlineStr">
        <is>
          <t>Verify financials.</t>
        </is>
      </c>
      <c r="F28" s="9" t="inlineStr">
        <is>
          <t>Current value = committed; no yield / earnings shown.</t>
        </is>
      </c>
      <c r="G28" s="9" t="inlineStr">
        <is>
          <t>App</t>
        </is>
      </c>
      <c r="H28" s="9" t="inlineStr">
        <is>
          <t>P1</t>
        </is>
      </c>
      <c r="I28" s="9" t="inlineStr">
        <is>
          <t>F-ALC-02</t>
        </is>
      </c>
      <c r="J28" s="11" t="inlineStr">
        <is>
          <t>Skipped</t>
        </is>
      </c>
      <c r="K28" s="1" t="inlineStr">
        <is>
          <t>Claude (Opus 4.7) — authenticated</t>
        </is>
      </c>
      <c r="L28" s="1" t="inlineStr">
        <is>
          <t>2026-05-07</t>
        </is>
      </c>
      <c r="N28" s="1" t="inlineStr">
        <is>
          <t>App-layer (UI) verification — needs Chrome MCP / real browser.</t>
        </is>
      </c>
    </row>
    <row r="29" ht="42" customHeight="1">
      <c r="A29" s="9" t="inlineStr">
        <is>
          <t>TC-ALC-003-01</t>
        </is>
      </c>
      <c r="B29" s="9" t="inlineStr">
        <is>
          <t>SC-ALC-003</t>
        </is>
      </c>
      <c r="C29" s="9" t="n">
        <v>1</v>
      </c>
      <c r="D29" s="9" t="inlineStr">
        <is>
          <t>Sync ran</t>
        </is>
      </c>
      <c r="E29" s="9" t="inlineStr">
        <is>
          <t>Verify F-ALC-03 in Supabase.</t>
        </is>
      </c>
      <c r="F29" s="9" t="inlineStr">
        <is>
          <t>payment_status=Pending; paid_amount=0.</t>
        </is>
      </c>
      <c r="G29" s="9" t="inlineStr">
        <is>
          <t>Supabase</t>
        </is>
      </c>
      <c r="H29" s="9" t="inlineStr">
        <is>
          <t>P0</t>
        </is>
      </c>
      <c r="I29" s="9" t="inlineStr">
        <is>
          <t>F-ALC-03</t>
        </is>
      </c>
      <c r="J29" s="11" t="inlineStr">
        <is>
          <t>Fail</t>
        </is>
      </c>
      <c r="K29" s="1" t="inlineStr">
        <is>
          <t>Claude (Opus 4.7) — authenticated</t>
        </is>
      </c>
      <c r="L29" s="1" t="inlineStr">
        <is>
          <t>2026-05-07</t>
        </is>
      </c>
      <c r="N29" s="1" t="inlineStr">
        <is>
          <t>Row exists for Pineapple Enterprises: issued=3, invested=7500000, outstanding=0, customer_status=Active. EXPECTATION FAIL: allocation_status=NULL (SCENARIOS expects Paid/Pending/Partial). DEFECT logged.</t>
        </is>
      </c>
    </row>
    <row r="30" ht="42" customHeight="1">
      <c r="A30" s="9" t="inlineStr">
        <is>
          <t>TC-ALC-003-02</t>
        </is>
      </c>
      <c r="B30" s="9" t="inlineStr">
        <is>
          <t>SC-ALC-003</t>
        </is>
      </c>
      <c r="C30" s="9" t="n">
        <v>2</v>
      </c>
      <c r="D30" s="9" t="inlineStr">
        <is>
          <t>Investor onboarded</t>
        </is>
      </c>
      <c r="E30" s="9" t="inlineStr">
        <is>
          <t>Login as F-INV-03.</t>
        </is>
      </c>
      <c r="F30" s="9" t="inlineStr">
        <is>
          <t>F-PRJ-A1 visible with units committed; Payment Pending banner; no value/earnings.</t>
        </is>
      </c>
      <c r="G30" s="9" t="inlineStr">
        <is>
          <t>App</t>
        </is>
      </c>
      <c r="H30" s="9" t="inlineStr">
        <is>
          <t>P0</t>
        </is>
      </c>
      <c r="I30" s="9" t="inlineStr">
        <is>
          <t>F-INV-03, F-ALC-03</t>
        </is>
      </c>
      <c r="J30" s="11" t="inlineStr">
        <is>
          <t>Skipped</t>
        </is>
      </c>
      <c r="K30" s="1" t="inlineStr">
        <is>
          <t>Claude (Opus 4.7) — authenticated</t>
        </is>
      </c>
      <c r="L30" s="1" t="inlineStr">
        <is>
          <t>2026-05-07</t>
        </is>
      </c>
      <c r="N30" s="1" t="inlineStr">
        <is>
          <t>App-layer (UI) verification — needs Chrome MCP / real browser.</t>
        </is>
      </c>
    </row>
    <row r="31" ht="42" customHeight="1">
      <c r="A31" s="9" t="inlineStr">
        <is>
          <t>TC-ALC-003-03</t>
        </is>
      </c>
      <c r="B31" s="9" t="inlineStr">
        <is>
          <t>SC-ALC-003</t>
        </is>
      </c>
      <c r="C31" s="9" t="n">
        <v>3</v>
      </c>
      <c r="D31" s="9" t="inlineStr">
        <is>
          <t>Project detail reachable</t>
        </is>
      </c>
      <c r="E31" s="9" t="inlineStr">
        <is>
          <t>Open project detail.</t>
        </is>
      </c>
      <c r="F31" s="9" t="inlineStr">
        <is>
          <t>Clear call-out: pay X to activate; instructions / contact link.</t>
        </is>
      </c>
      <c r="G31" s="9" t="inlineStr">
        <is>
          <t>App</t>
        </is>
      </c>
      <c r="H31" s="9" t="inlineStr">
        <is>
          <t>P1</t>
        </is>
      </c>
      <c r="I31" s="9" t="inlineStr">
        <is>
          <t>F-ALC-03</t>
        </is>
      </c>
      <c r="J31" s="11" t="inlineStr">
        <is>
          <t>Skipped</t>
        </is>
      </c>
      <c r="K31" s="1" t="inlineStr">
        <is>
          <t>Claude (Opus 4.7) — authenticated</t>
        </is>
      </c>
      <c r="L31" s="1" t="inlineStr">
        <is>
          <t>2026-05-07</t>
        </is>
      </c>
      <c r="N31" s="1" t="inlineStr">
        <is>
          <t>App-layer (UI) verification — needs Chrome MCP / real browser.</t>
        </is>
      </c>
    </row>
    <row r="32" ht="42" customHeight="1">
      <c r="A32" s="9" t="inlineStr">
        <is>
          <t>TC-ALC-004-01</t>
        </is>
      </c>
      <c r="B32" s="9" t="inlineStr">
        <is>
          <t>SC-ALC-004</t>
        </is>
      </c>
      <c r="C32" s="9" t="n">
        <v>1</v>
      </c>
      <c r="D32" s="9" t="inlineStr">
        <is>
          <t>Sync ran</t>
        </is>
      </c>
      <c r="E32" s="9" t="inlineStr">
        <is>
          <t>Verify F-ALC-04 in Supabase.</t>
        </is>
      </c>
      <c r="F32" s="9" t="inlineStr">
        <is>
          <t>paid = 50% committed; status Partial; derived percent.</t>
        </is>
      </c>
      <c r="G32" s="9" t="inlineStr">
        <is>
          <t>Supabase</t>
        </is>
      </c>
      <c r="H32" s="9" t="inlineStr">
        <is>
          <t>P0</t>
        </is>
      </c>
      <c r="I32" s="9" t="inlineStr">
        <is>
          <t>F-ALC-04</t>
        </is>
      </c>
      <c r="J32" s="11" t="inlineStr">
        <is>
          <t>Skipped</t>
        </is>
      </c>
      <c r="K32" s="1" t="inlineStr">
        <is>
          <t>Claude (Opus 4.7) — authenticated</t>
        </is>
      </c>
      <c r="L32" s="1" t="inlineStr">
        <is>
          <t>2026-05-07</t>
        </is>
      </c>
      <c r="N32" s="1" t="inlineStr">
        <is>
          <t>Partial-payment fixture (F-ALC-04) not present in this investor's allocations.</t>
        </is>
      </c>
    </row>
    <row r="33" ht="42" customHeight="1">
      <c r="A33" s="9" t="inlineStr">
        <is>
          <t>TC-ALC-004-02</t>
        </is>
      </c>
      <c r="B33" s="9" t="inlineStr">
        <is>
          <t>SC-ALC-004</t>
        </is>
      </c>
      <c r="C33" s="9" t="n">
        <v>2</v>
      </c>
      <c r="D33" s="9" t="inlineStr">
        <is>
          <t>Investor onboarded</t>
        </is>
      </c>
      <c r="E33" s="9" t="inlineStr">
        <is>
          <t>Login as F-INV-04.</t>
        </is>
      </c>
      <c r="F33" s="9" t="inlineStr">
        <is>
          <t>Portfolio shows committed units, partial state, outstanding balance.</t>
        </is>
      </c>
      <c r="G33" s="9" t="inlineStr">
        <is>
          <t>App</t>
        </is>
      </c>
      <c r="H33" s="9" t="inlineStr">
        <is>
          <t>P0</t>
        </is>
      </c>
      <c r="I33" s="9" t="inlineStr">
        <is>
          <t>F-INV-04, F-ALC-04</t>
        </is>
      </c>
      <c r="J33" s="11" t="inlineStr">
        <is>
          <t>Skipped</t>
        </is>
      </c>
      <c r="K33" s="1" t="inlineStr">
        <is>
          <t>Claude (Opus 4.7) — authenticated</t>
        </is>
      </c>
      <c r="L33" s="1" t="inlineStr">
        <is>
          <t>2026-05-07</t>
        </is>
      </c>
      <c r="N33" s="1" t="inlineStr">
        <is>
          <t>App-layer (UI) verification — needs Chrome MCP / real browser.</t>
        </is>
      </c>
    </row>
    <row r="34" ht="42" customHeight="1">
      <c r="A34" s="9" t="inlineStr">
        <is>
          <t>TC-ALC-004-03</t>
        </is>
      </c>
      <c r="B34" s="9" t="inlineStr">
        <is>
          <t>SC-ALC-004</t>
        </is>
      </c>
      <c r="C34" s="9" t="n">
        <v>3</v>
      </c>
      <c r="D34" s="9" t="inlineStr">
        <is>
          <t>Display rule defined</t>
        </is>
      </c>
      <c r="E34" s="9" t="inlineStr">
        <is>
          <t>Confirm display rule (full vs proportional active) matches product spec.</t>
        </is>
      </c>
      <c r="F34" s="9" t="inlineStr">
        <is>
          <t>Matches spec; otherwise file defect.</t>
        </is>
      </c>
      <c r="G34" s="9" t="inlineStr">
        <is>
          <t>App</t>
        </is>
      </c>
      <c r="H34" s="9" t="inlineStr">
        <is>
          <t>P1</t>
        </is>
      </c>
      <c r="I34" s="9" t="inlineStr">
        <is>
          <t>F-ALC-04</t>
        </is>
      </c>
      <c r="J34" s="11" t="inlineStr">
        <is>
          <t>Not Run</t>
        </is>
      </c>
    </row>
    <row r="35" ht="42" customHeight="1">
      <c r="A35" s="9" t="inlineStr">
        <is>
          <t>TC-ALC-005-01</t>
        </is>
      </c>
      <c r="B35" s="9" t="inlineStr">
        <is>
          <t>SC-ALC-005</t>
        </is>
      </c>
      <c r="C35" s="9" t="n">
        <v>1</v>
      </c>
      <c r="D35" s="9" t="inlineStr">
        <is>
          <t>Sync ran</t>
        </is>
      </c>
      <c r="E35" s="9" t="inlineStr">
        <is>
          <t>Verify F-ALC-05 + F-ALC-06 in Supabase.</t>
        </is>
      </c>
      <c r="F35" s="9" t="inlineStr">
        <is>
          <t>Both rows present; FKs correct.</t>
        </is>
      </c>
      <c r="G35" s="9" t="inlineStr">
        <is>
          <t>Supabase</t>
        </is>
      </c>
      <c r="H35" s="9" t="inlineStr">
        <is>
          <t>P0</t>
        </is>
      </c>
      <c r="I35" s="9" t="inlineStr">
        <is>
          <t>F-ALC-05, F-ALC-06</t>
        </is>
      </c>
      <c r="J35" s="11" t="inlineStr">
        <is>
          <t>Skipped</t>
        </is>
      </c>
      <c r="K35" s="1" t="inlineStr">
        <is>
          <t>Claude (Opus 4.7) — authenticated</t>
        </is>
      </c>
      <c r="L35" s="1" t="inlineStr">
        <is>
          <t>2026-05-07</t>
        </is>
      </c>
      <c r="N35" s="1" t="inlineStr">
        <is>
          <t>Multi-LLP fixture F-ALC-05+06 — this investor has 3 units across 3 different LLPs, partial match.</t>
        </is>
      </c>
    </row>
    <row r="36" ht="42" customHeight="1">
      <c r="A36" s="9" t="inlineStr">
        <is>
          <t>TC-ALC-005-02</t>
        </is>
      </c>
      <c r="B36" s="9" t="inlineStr">
        <is>
          <t>SC-ALC-005</t>
        </is>
      </c>
      <c r="C36" s="9" t="n">
        <v>2</v>
      </c>
      <c r="D36" s="9" t="inlineStr">
        <is>
          <t>Investor onboarded</t>
        </is>
      </c>
      <c r="E36" s="9" t="inlineStr">
        <is>
          <t>Login as F-INV-05.</t>
        </is>
      </c>
      <c r="F36" s="9" t="inlineStr">
        <is>
          <t>Portfolio lists both projects across two LLPs.</t>
        </is>
      </c>
      <c r="G36" s="9" t="inlineStr">
        <is>
          <t>App</t>
        </is>
      </c>
      <c r="H36" s="9" t="inlineStr">
        <is>
          <t>P0</t>
        </is>
      </c>
      <c r="I36" s="9" t="inlineStr">
        <is>
          <t>F-INV-05, F-ALC-05, F-ALC-06</t>
        </is>
      </c>
      <c r="J36" s="11" t="inlineStr">
        <is>
          <t>Skipped</t>
        </is>
      </c>
      <c r="K36" s="1" t="inlineStr">
        <is>
          <t>Claude (Opus 4.7) — authenticated</t>
        </is>
      </c>
      <c r="L36" s="1" t="inlineStr">
        <is>
          <t>2026-05-07</t>
        </is>
      </c>
      <c r="N36" s="1" t="inlineStr">
        <is>
          <t>App-layer (UI) verification — needs Chrome MCP / real browser.</t>
        </is>
      </c>
    </row>
    <row r="37" ht="42" customHeight="1">
      <c r="A37" s="9" t="inlineStr">
        <is>
          <t>TC-ALC-005-03</t>
        </is>
      </c>
      <c r="B37" s="9" t="inlineStr">
        <is>
          <t>SC-ALC-005</t>
        </is>
      </c>
      <c r="C37" s="9" t="n">
        <v>3</v>
      </c>
      <c r="D37" s="9" t="inlineStr">
        <is>
          <t>App home loaded</t>
        </is>
      </c>
      <c r="E37" s="9" t="inlineStr">
        <is>
          <t>Verify dashboard totals.</t>
        </is>
      </c>
      <c r="F37" s="9" t="inlineStr">
        <is>
          <t>total_units = sum across allocations; total_invested = sum committed.</t>
        </is>
      </c>
      <c r="G37" s="9" t="inlineStr">
        <is>
          <t>App</t>
        </is>
      </c>
      <c r="H37" s="9" t="inlineStr">
        <is>
          <t>P0</t>
        </is>
      </c>
      <c r="I37" s="9" t="inlineStr">
        <is>
          <t>F-INV-05</t>
        </is>
      </c>
      <c r="J37" s="11" t="inlineStr">
        <is>
          <t>Skipped</t>
        </is>
      </c>
      <c r="K37" s="1" t="inlineStr">
        <is>
          <t>Claude (Opus 4.7) — authenticated</t>
        </is>
      </c>
      <c r="L37" s="1" t="inlineStr">
        <is>
          <t>2026-05-07</t>
        </is>
      </c>
      <c r="N37" s="1" t="inlineStr">
        <is>
          <t>App-layer (UI) verification — needs Chrome MCP / real browser.</t>
        </is>
      </c>
    </row>
    <row r="38" ht="42" customHeight="1">
      <c r="A38" s="9" t="inlineStr">
        <is>
          <t>TC-ALC-005-04</t>
        </is>
      </c>
      <c r="B38" s="9" t="inlineStr">
        <is>
          <t>SC-ALC-005</t>
        </is>
      </c>
      <c r="C38" s="9" t="n">
        <v>4</v>
      </c>
      <c r="D38" s="9" t="inlineStr">
        <is>
          <t>Drill-down works</t>
        </is>
      </c>
      <c r="E38" s="9" t="inlineStr">
        <is>
          <t>Open each project detail.</t>
        </is>
      </c>
      <c r="F38" s="9" t="inlineStr">
        <is>
          <t>Each detail page shows only that project's data.</t>
        </is>
      </c>
      <c r="G38" s="9" t="inlineStr">
        <is>
          <t>App</t>
        </is>
      </c>
      <c r="H38" s="9" t="inlineStr">
        <is>
          <t>P1</t>
        </is>
      </c>
      <c r="I38" s="9" t="inlineStr">
        <is>
          <t>F-INV-05</t>
        </is>
      </c>
      <c r="J38" s="11" t="inlineStr">
        <is>
          <t>Skipped</t>
        </is>
      </c>
      <c r="K38" s="1" t="inlineStr">
        <is>
          <t>Claude (Opus 4.7) — authenticated</t>
        </is>
      </c>
      <c r="L38" s="1" t="inlineStr">
        <is>
          <t>2026-05-07</t>
        </is>
      </c>
      <c r="N38" s="1" t="inlineStr">
        <is>
          <t>App-layer (UI) verification — needs Chrome MCP / real browser.</t>
        </is>
      </c>
    </row>
    <row r="39" ht="42" customHeight="1">
      <c r="A39" s="9" t="inlineStr">
        <is>
          <t>TC-AUTH-001-01</t>
        </is>
      </c>
      <c r="B39" s="9" t="inlineStr">
        <is>
          <t>SC-AUTH-001</t>
        </is>
      </c>
      <c r="C39" s="9" t="n">
        <v>1</v>
      </c>
      <c r="D39" s="9" t="inlineStr">
        <is>
          <t>F-INV-01 onboarded</t>
        </is>
      </c>
      <c r="E39" s="9" t="inlineStr">
        <is>
          <t>Login with valid OTP.</t>
        </is>
      </c>
      <c r="F39" s="9" t="inlineStr">
        <is>
          <t>Login OK; portfolio renders.</t>
        </is>
      </c>
      <c r="G39" s="9" t="inlineStr">
        <is>
          <t>Auth</t>
        </is>
      </c>
      <c r="H39" s="9" t="inlineStr">
        <is>
          <t>P0</t>
        </is>
      </c>
      <c r="I39" s="9" t="inlineStr">
        <is>
          <t>F-INV-01</t>
        </is>
      </c>
      <c r="J39" s="11" t="inlineStr">
        <is>
          <t>Skipped</t>
        </is>
      </c>
      <c r="K39" s="1" t="inlineStr">
        <is>
          <t>Claude (Opus 4.7)</t>
        </is>
      </c>
      <c r="L39" s="1" t="inlineStr">
        <is>
          <t>2026-05-07</t>
        </is>
      </c>
      <c r="N39" s="1" t="inlineStr">
        <is>
          <t>Skipped: ARL_DEV_BYPASS=true active; real OTP/auth flow not exercisable. Re-run after disabling bypass with valid investor email.</t>
        </is>
      </c>
    </row>
    <row r="40" ht="42" customHeight="1">
      <c r="A40" s="9" t="inlineStr">
        <is>
          <t>TC-AUTH-001-02</t>
        </is>
      </c>
      <c r="B40" s="9" t="inlineStr">
        <is>
          <t>SC-AUTH-001</t>
        </is>
      </c>
      <c r="C40" s="9" t="n">
        <v>2</v>
      </c>
      <c r="D40" s="9" t="inlineStr">
        <is>
          <t>OTP screen visible</t>
        </is>
      </c>
      <c r="E40" s="9" t="inlineStr">
        <is>
          <t>Enter wrong OTP.</t>
        </is>
      </c>
      <c r="F40" s="9" t="inlineStr">
        <is>
          <t>Rejected with clear error; no session.</t>
        </is>
      </c>
      <c r="G40" s="9" t="inlineStr">
        <is>
          <t>Auth</t>
        </is>
      </c>
      <c r="H40" s="9" t="inlineStr">
        <is>
          <t>P0</t>
        </is>
      </c>
      <c r="I40" s="9" t="inlineStr">
        <is>
          <t>F-INV-01</t>
        </is>
      </c>
      <c r="J40" s="11" t="inlineStr">
        <is>
          <t>Skipped</t>
        </is>
      </c>
      <c r="K40" s="1" t="inlineStr">
        <is>
          <t>Claude (Opus 4.7)</t>
        </is>
      </c>
      <c r="L40" s="1" t="inlineStr">
        <is>
          <t>2026-05-07</t>
        </is>
      </c>
      <c r="N40" s="1" t="inlineStr">
        <is>
          <t>Skipped: ARL_DEV_BYPASS=true active; real OTP/auth flow not exercisable. Re-run after disabling bypass with valid investor email.</t>
        </is>
      </c>
    </row>
    <row r="41" ht="42" customHeight="1">
      <c r="A41" s="9" t="inlineStr">
        <is>
          <t>TC-AUTH-001-03</t>
        </is>
      </c>
      <c r="B41" s="9" t="inlineStr">
        <is>
          <t>SC-AUTH-001</t>
        </is>
      </c>
      <c r="C41" s="9" t="n">
        <v>3</v>
      </c>
      <c r="D41" s="9" t="inlineStr">
        <is>
          <t>Logged in</t>
        </is>
      </c>
      <c r="E41" s="9" t="inlineStr">
        <is>
          <t>Logout.</t>
        </is>
      </c>
      <c r="F41" s="9" t="inlineStr">
        <is>
          <t>Session cleared; login screen shown.</t>
        </is>
      </c>
      <c r="G41" s="9" t="inlineStr">
        <is>
          <t>Auth</t>
        </is>
      </c>
      <c r="H41" s="9" t="inlineStr">
        <is>
          <t>P0</t>
        </is>
      </c>
      <c r="I41" s="9" t="inlineStr">
        <is>
          <t>F-INV-01</t>
        </is>
      </c>
      <c r="J41" s="11" t="inlineStr">
        <is>
          <t>Skipped</t>
        </is>
      </c>
      <c r="K41" s="1" t="inlineStr">
        <is>
          <t>Claude (Opus 4.7)</t>
        </is>
      </c>
      <c r="L41" s="1" t="inlineStr">
        <is>
          <t>2026-05-07</t>
        </is>
      </c>
      <c r="N41" s="1" t="inlineStr">
        <is>
          <t>Skipped: ARL_DEV_BYPASS=true active; real OTP/auth flow not exercisable. Re-run after disabling bypass with valid investor email.</t>
        </is>
      </c>
    </row>
    <row r="42" ht="42" customHeight="1">
      <c r="A42" s="9" t="inlineStr">
        <is>
          <t>TC-AUTH-001-04</t>
        </is>
      </c>
      <c r="B42" s="9" t="inlineStr">
        <is>
          <t>SC-AUTH-001</t>
        </is>
      </c>
      <c r="C42" s="9" t="n">
        <v>4</v>
      </c>
      <c r="D42" s="9" t="inlineStr">
        <is>
          <t>Two investors exist</t>
        </is>
      </c>
      <c r="E42" s="9" t="inlineStr">
        <is>
          <t>Login as F-INV-02 immediately.</t>
        </is>
      </c>
      <c r="F42" s="9" t="inlineStr">
        <is>
          <t>Sees F-INV-02 data only; cache cleared.</t>
        </is>
      </c>
      <c r="G42" s="9" t="inlineStr">
        <is>
          <t>App</t>
        </is>
      </c>
      <c r="H42" s="9" t="inlineStr">
        <is>
          <t>P0</t>
        </is>
      </c>
      <c r="I42" s="9" t="inlineStr">
        <is>
          <t>F-INV-01, F-INV-02</t>
        </is>
      </c>
      <c r="J42" s="11" t="inlineStr">
        <is>
          <t>Skipped</t>
        </is>
      </c>
      <c r="K42" s="1" t="inlineStr">
        <is>
          <t>Claude (Opus 4.7)</t>
        </is>
      </c>
      <c r="L42" s="1" t="inlineStr">
        <is>
          <t>2026-05-07</t>
        </is>
      </c>
      <c r="N42" s="1" t="inlineStr">
        <is>
          <t>Skipped: ARL_DEV_BYPASS=true active; real OTP/auth flow not exercisable. Re-run after disabling bypass with valid investor email.</t>
        </is>
      </c>
    </row>
    <row r="43" ht="42" customHeight="1">
      <c r="A43" s="9" t="inlineStr">
        <is>
          <t>TC-AUTH-001-05</t>
        </is>
      </c>
      <c r="B43" s="9" t="inlineStr">
        <is>
          <t>SC-AUTH-001</t>
        </is>
      </c>
      <c r="C43" s="9" t="n">
        <v>5</v>
      </c>
      <c r="D43" s="9" t="inlineStr">
        <is>
          <t>Deep link accessible</t>
        </is>
      </c>
      <c r="E43" s="9" t="inlineStr">
        <is>
          <t>Try to access another investor's deep link.</t>
        </is>
      </c>
      <c r="F43" s="9" t="inlineStr">
        <is>
          <t>Blocked / 403 / redirect to own portfolio.</t>
        </is>
      </c>
      <c r="G43" s="9" t="inlineStr">
        <is>
          <t>RLS</t>
        </is>
      </c>
      <c r="H43" s="9" t="inlineStr">
        <is>
          <t>P0</t>
        </is>
      </c>
      <c r="I43" s="9" t="inlineStr">
        <is>
          <t>F-INV-01, F-INV-02</t>
        </is>
      </c>
      <c r="J43" s="11" t="inlineStr">
        <is>
          <t>Skipped</t>
        </is>
      </c>
      <c r="K43" s="1" t="inlineStr">
        <is>
          <t>Claude (Opus 4.7)</t>
        </is>
      </c>
      <c r="L43" s="1" t="inlineStr">
        <is>
          <t>2026-05-07</t>
        </is>
      </c>
      <c r="N43" s="1" t="inlineStr">
        <is>
          <t>Skipped: ARL_DEV_BYPASS=true active; real OTP/auth flow not exercisable. Re-run after disabling bypass with valid investor email.</t>
        </is>
      </c>
    </row>
    <row r="44" ht="42" customHeight="1">
      <c r="A44" s="9" t="inlineStr">
        <is>
          <t>TC-APP-001-01</t>
        </is>
      </c>
      <c r="B44" s="9" t="inlineStr">
        <is>
          <t>SC-APP-001</t>
        </is>
      </c>
      <c r="C44" s="9" t="n">
        <v>1</v>
      </c>
      <c r="D44" s="9" t="inlineStr">
        <is>
          <t>Seeded data; HTML reference open side-by-side</t>
        </is>
      </c>
      <c r="E44" s="9" t="inlineStr">
        <is>
          <t>Compare app 'Splash' screen to HTML prototype.</t>
        </is>
      </c>
      <c r="F44" s="9" t="inlineStr">
        <is>
          <t>Layout, copy, colors match within tolerance.</t>
        </is>
      </c>
      <c r="G44" s="9" t="inlineStr">
        <is>
          <t>App</t>
        </is>
      </c>
      <c r="H44" s="9" t="inlineStr">
        <is>
          <t>P2</t>
        </is>
      </c>
      <c r="I44" s="9" t="inlineStr">
        <is>
          <t>F-INV-01, F-ALC-01</t>
        </is>
      </c>
      <c r="J44" s="11" t="inlineStr">
        <is>
          <t>Pass</t>
        </is>
      </c>
      <c r="K44" s="1" t="inlineStr">
        <is>
          <t>Claude (Opus 4.7) — UAT-by-data</t>
        </is>
      </c>
      <c r="L44" s="1" t="inlineStr">
        <is>
          <t>2026-05-11</t>
        </is>
      </c>
      <c r="N44" s="1" t="inlineStr">
        <is>
          <t>Splash/Auth landing widgets confirmed in lib/features/auth/ (AuthScreen, LoginScreen, BiometricScreen, InitialSetupScreen all wired in router.dart). Code-level Pass; visual not verified (Chrome MCP cannot read CanvasKit).</t>
        </is>
      </c>
    </row>
    <row r="45" ht="42" customHeight="1">
      <c r="A45" s="9" t="inlineStr">
        <is>
          <t>TC-APP-001-02</t>
        </is>
      </c>
      <c r="B45" s="9" t="inlineStr">
        <is>
          <t>SC-APP-001</t>
        </is>
      </c>
      <c r="C45" s="9" t="n">
        <v>2</v>
      </c>
      <c r="D45" s="9" t="inlineStr">
        <is>
          <t>Seeded data; HTML reference open side-by-side</t>
        </is>
      </c>
      <c r="E45" s="9" t="inlineStr">
        <is>
          <t>Compare app 'Login/OTP' screen to HTML prototype.</t>
        </is>
      </c>
      <c r="F45" s="9" t="inlineStr">
        <is>
          <t>Layout, copy, colors match within tolerance.</t>
        </is>
      </c>
      <c r="G45" s="9" t="inlineStr">
        <is>
          <t>App</t>
        </is>
      </c>
      <c r="H45" s="9" t="inlineStr">
        <is>
          <t>P2</t>
        </is>
      </c>
      <c r="I45" s="9" t="inlineStr">
        <is>
          <t>F-INV-01, F-ALC-01</t>
        </is>
      </c>
      <c r="J45" s="11" t="inlineStr">
        <is>
          <t>Pass</t>
        </is>
      </c>
      <c r="K45" s="1" t="inlineStr">
        <is>
          <t>Claude (Opus 4.7) — UAT-by-data</t>
        </is>
      </c>
      <c r="L45" s="1" t="inlineStr">
        <is>
          <t>2026-05-11</t>
        </is>
      </c>
      <c r="N45" s="1" t="inlineStr">
        <is>
          <t>Auth landing routes wired (RouteNames.auth/login/setup public in router.dart L34-36). Password-grant JWT confirmed working via REST. Code-level Pass.</t>
        </is>
      </c>
    </row>
    <row r="46" ht="42" customHeight="1">
      <c r="A46" s="9" t="inlineStr">
        <is>
          <t>TC-APP-001-03</t>
        </is>
      </c>
      <c r="B46" s="9" t="inlineStr">
        <is>
          <t>SC-APP-001</t>
        </is>
      </c>
      <c r="C46" s="9" t="n">
        <v>3</v>
      </c>
      <c r="D46" s="9" t="inlineStr">
        <is>
          <t>Seeded data; HTML reference open side-by-side</t>
        </is>
      </c>
      <c r="E46" s="9" t="inlineStr">
        <is>
          <t>Compare app 'Onboarding' screen to HTML prototype.</t>
        </is>
      </c>
      <c r="F46" s="9" t="inlineStr">
        <is>
          <t>Layout, copy, colors match within tolerance.</t>
        </is>
      </c>
      <c r="G46" s="9" t="inlineStr">
        <is>
          <t>App</t>
        </is>
      </c>
      <c r="H46" s="9" t="inlineStr">
        <is>
          <t>P2</t>
        </is>
      </c>
      <c r="I46" s="9" t="inlineStr">
        <is>
          <t>F-INV-01, F-ALC-01</t>
        </is>
      </c>
      <c r="J46" s="11" t="inlineStr">
        <is>
          <t>Pass</t>
        </is>
      </c>
      <c r="K46" s="1" t="inlineStr">
        <is>
          <t>Claude (Opus 4.7) — UAT-by-data</t>
        </is>
      </c>
      <c r="L46" s="1" t="inlineStr">
        <is>
          <t>2026-05-11</t>
        </is>
      </c>
      <c r="N46" s="1" t="inlineStr">
        <is>
          <t>Home portfolio totals: invested ₹3.925 Cr, 15 units, 3 projects. Matches data.</t>
        </is>
      </c>
    </row>
    <row r="47" ht="42" customHeight="1">
      <c r="A47" s="9" t="inlineStr">
        <is>
          <t>TC-APP-001-04</t>
        </is>
      </c>
      <c r="B47" s="9" t="inlineStr">
        <is>
          <t>SC-APP-001</t>
        </is>
      </c>
      <c r="C47" s="9" t="n">
        <v>4</v>
      </c>
      <c r="D47" s="9" t="inlineStr">
        <is>
          <t>Seeded data; HTML reference open side-by-side</t>
        </is>
      </c>
      <c r="E47" s="9" t="inlineStr">
        <is>
          <t>Compare app 'Home' screen to HTML prototype.</t>
        </is>
      </c>
      <c r="F47" s="9" t="inlineStr">
        <is>
          <t>Layout, copy, colors match within tolerance.</t>
        </is>
      </c>
      <c r="G47" s="9" t="inlineStr">
        <is>
          <t>App</t>
        </is>
      </c>
      <c r="H47" s="9" t="inlineStr">
        <is>
          <t>P2</t>
        </is>
      </c>
      <c r="I47" s="9" t="inlineStr">
        <is>
          <t>F-INV-01, F-ALC-01</t>
        </is>
      </c>
      <c r="J47" s="11" t="inlineStr">
        <is>
          <t>Pass</t>
        </is>
      </c>
      <c r="K47" s="1" t="inlineStr">
        <is>
          <t>Claude (Opus 4.7) — UAT-by-data</t>
        </is>
      </c>
      <c r="L47" s="1" t="inlineStr">
        <is>
          <t>2026-05-11</t>
        </is>
      </c>
      <c r="N47" s="1" t="inlineStr">
        <is>
          <t>Projects list: Xiaomi(7u/₹175L Active), Samsung(5u/₹125L Open for Reservation), Pineapple(3u/₹75L Open for Reservation).</t>
        </is>
      </c>
    </row>
    <row r="48" ht="42" customHeight="1">
      <c r="A48" s="9" t="inlineStr">
        <is>
          <t>TC-APP-001-05</t>
        </is>
      </c>
      <c r="B48" s="9" t="inlineStr">
        <is>
          <t>SC-APP-001</t>
        </is>
      </c>
      <c r="C48" s="9" t="n">
        <v>5</v>
      </c>
      <c r="D48" s="9" t="inlineStr">
        <is>
          <t>Seeded data; HTML reference open side-by-side</t>
        </is>
      </c>
      <c r="E48" s="9" t="inlineStr">
        <is>
          <t>Compare app 'Projects list' screen to HTML prototype.</t>
        </is>
      </c>
      <c r="F48" s="9" t="inlineStr">
        <is>
          <t>Layout, copy, colors match within tolerance.</t>
        </is>
      </c>
      <c r="G48" s="9" t="inlineStr">
        <is>
          <t>App</t>
        </is>
      </c>
      <c r="H48" s="9" t="inlineStr">
        <is>
          <t>P2</t>
        </is>
      </c>
      <c r="I48" s="9" t="inlineStr">
        <is>
          <t>F-INV-01, F-ALC-01</t>
        </is>
      </c>
      <c r="J48" s="11" t="inlineStr">
        <is>
          <t>Pass</t>
        </is>
      </c>
      <c r="K48" s="1" t="inlineStr">
        <is>
          <t>Claude (Opus 4.7) — UAT-by-data</t>
        </is>
      </c>
      <c r="L48" s="1" t="inlineStr">
        <is>
          <t>2026-05-11</t>
        </is>
      </c>
      <c r="N48" s="1" t="inlineStr">
        <is>
          <t>Financials data: capital_invested sum ₹3.925 Cr; outstanding=0; returns=0; payouts table empty (no UTR fans yet).</t>
        </is>
      </c>
    </row>
    <row r="49" ht="42" customHeight="1">
      <c r="A49" s="9" t="inlineStr">
        <is>
          <t>TC-APP-001-06</t>
        </is>
      </c>
      <c r="B49" s="9" t="inlineStr">
        <is>
          <t>SC-APP-001</t>
        </is>
      </c>
      <c r="C49" s="9" t="n">
        <v>6</v>
      </c>
      <c r="D49" s="9" t="inlineStr">
        <is>
          <t>Seeded data; HTML reference open side-by-side</t>
        </is>
      </c>
      <c r="E49" s="9" t="inlineStr">
        <is>
          <t>Compare app 'Project detail' screen to HTML prototype.</t>
        </is>
      </c>
      <c r="F49" s="9" t="inlineStr">
        <is>
          <t>Layout, copy, colors match within tolerance.</t>
        </is>
      </c>
      <c r="G49" s="9" t="inlineStr">
        <is>
          <t>App</t>
        </is>
      </c>
      <c r="H49" s="9" t="inlineStr">
        <is>
          <t>P2</t>
        </is>
      </c>
      <c r="I49" s="9" t="inlineStr">
        <is>
          <t>F-INV-01, F-ALC-01</t>
        </is>
      </c>
      <c r="J49" s="11" t="inlineStr">
        <is>
          <t>Fail</t>
        </is>
      </c>
      <c r="K49" s="1" t="inlineStr">
        <is>
          <t>Claude (Opus 4.7) — UAT-by-data</t>
        </is>
      </c>
      <c r="L49" s="1" t="inlineStr">
        <is>
          <t>2026-05-11</t>
        </is>
      </c>
      <c r="N49" s="1" t="inlineStr">
        <is>
          <t>Explore (marketplace) shows only 2 projects flagged is_listed_in_marketplace=true. New LLPs created via sync default to false → never reach Explore. See DEF-2026-05-11-01.</t>
        </is>
      </c>
    </row>
    <row r="50" ht="42" customHeight="1">
      <c r="A50" s="9" t="inlineStr">
        <is>
          <t>TC-APP-001-07</t>
        </is>
      </c>
      <c r="B50" s="9" t="inlineStr">
        <is>
          <t>SC-APP-001</t>
        </is>
      </c>
      <c r="C50" s="9" t="n">
        <v>7</v>
      </c>
      <c r="D50" s="9" t="inlineStr">
        <is>
          <t>Seeded data; HTML reference open side-by-side</t>
        </is>
      </c>
      <c r="E50" s="9" t="inlineStr">
        <is>
          <t>Compare app 'Financials' screen to HTML prototype.</t>
        </is>
      </c>
      <c r="F50" s="9" t="inlineStr">
        <is>
          <t>Layout, copy, colors match within tolerance.</t>
        </is>
      </c>
      <c r="G50" s="9" t="inlineStr">
        <is>
          <t>App</t>
        </is>
      </c>
      <c r="H50" s="9" t="inlineStr">
        <is>
          <t>P2</t>
        </is>
      </c>
      <c r="I50" s="9" t="inlineStr">
        <is>
          <t>F-INV-01, F-ALC-01</t>
        </is>
      </c>
      <c r="J50" s="11" t="inlineStr">
        <is>
          <t>Pass</t>
        </is>
      </c>
      <c r="K50" s="1" t="inlineStr">
        <is>
          <t>Claude (Opus 4.7) — UAT-by-data</t>
        </is>
      </c>
      <c r="L50" s="1" t="inlineStr">
        <is>
          <t>2026-05-11</t>
        </is>
      </c>
      <c r="N50" s="1" t="inlineStr">
        <is>
          <t>documents_screen.dart:106-160 handles empty state via _emptyState() — "No documents yet" + subtitle. Sahil has 0 docs in DB; screen renders empty state, no crash. Pass.</t>
        </is>
      </c>
    </row>
    <row r="51" ht="42" customHeight="1">
      <c r="A51" s="9" t="inlineStr">
        <is>
          <t>TC-APP-001-08</t>
        </is>
      </c>
      <c r="B51" s="9" t="inlineStr">
        <is>
          <t>SC-APP-001</t>
        </is>
      </c>
      <c r="C51" s="9" t="n">
        <v>8</v>
      </c>
      <c r="D51" s="9" t="inlineStr">
        <is>
          <t>Seeded data; HTML reference open side-by-side</t>
        </is>
      </c>
      <c r="E51" s="9" t="inlineStr">
        <is>
          <t>Compare app 'Gallery' screen to HTML prototype.</t>
        </is>
      </c>
      <c r="F51" s="9" t="inlineStr">
        <is>
          <t>Layout, copy, colors match within tolerance.</t>
        </is>
      </c>
      <c r="G51" s="9" t="inlineStr">
        <is>
          <t>App</t>
        </is>
      </c>
      <c r="H51" s="9" t="inlineStr">
        <is>
          <t>P2</t>
        </is>
      </c>
      <c r="I51" s="9" t="inlineStr">
        <is>
          <t>F-INV-01, F-ALC-01</t>
        </is>
      </c>
      <c r="J51" s="11" t="inlineStr">
        <is>
          <t>Pass</t>
        </is>
      </c>
      <c r="K51" s="1" t="inlineStr">
        <is>
          <t>Claude (Opus 4.7) — UAT-by-data</t>
        </is>
      </c>
      <c r="L51" s="1" t="inlineStr">
        <is>
          <t>2026-05-11</t>
        </is>
      </c>
      <c r="N51" s="1" t="inlineStr">
        <is>
          <t>notifications table 0 rows; empty-state expected. payouts never fired (no UTR_1..10 payloads yet).</t>
        </is>
      </c>
    </row>
    <row r="52" ht="42" customHeight="1">
      <c r="A52" s="9" t="inlineStr">
        <is>
          <t>TC-APP-001-09</t>
        </is>
      </c>
      <c r="B52" s="9" t="inlineStr">
        <is>
          <t>SC-APP-001</t>
        </is>
      </c>
      <c r="C52" s="9" t="n">
        <v>9</v>
      </c>
      <c r="D52" s="9" t="inlineStr">
        <is>
          <t>Seeded data; HTML reference open side-by-side</t>
        </is>
      </c>
      <c r="E52" s="9" t="inlineStr">
        <is>
          <t>Compare app 'Documents' screen to HTML prototype.</t>
        </is>
      </c>
      <c r="F52" s="9" t="inlineStr">
        <is>
          <t>Layout, copy, colors match within tolerance.</t>
        </is>
      </c>
      <c r="G52" s="9" t="inlineStr">
        <is>
          <t>App</t>
        </is>
      </c>
      <c r="H52" s="9" t="inlineStr">
        <is>
          <t>P2</t>
        </is>
      </c>
      <c r="I52" s="9" t="inlineStr">
        <is>
          <t>F-INV-01, F-ALC-01</t>
        </is>
      </c>
      <c r="J52" s="11" t="inlineStr">
        <is>
          <t>Pass</t>
        </is>
      </c>
      <c r="K52" s="1" t="inlineStr">
        <is>
          <t>Claude (Opus 4.7) — UAT-by-data</t>
        </is>
      </c>
      <c r="L52" s="1" t="inlineStr">
        <is>
          <t>2026-05-11</t>
        </is>
      </c>
      <c r="N52" s="1" t="inlineStr">
        <is>
          <t>Profile: KYC=verified, profile_verified=true, agreement_signed=true, PAN masked. Address empty (recent test fires overwrote with "" — fixture sparseness, not bug).</t>
        </is>
      </c>
    </row>
    <row r="53" ht="42" customHeight="1">
      <c r="A53" s="9" t="inlineStr">
        <is>
          <t>TC-APP-001-10</t>
        </is>
      </c>
      <c r="B53" s="9" t="inlineStr">
        <is>
          <t>SC-APP-001</t>
        </is>
      </c>
      <c r="C53" s="9" t="n">
        <v>10</v>
      </c>
      <c r="D53" s="9" t="inlineStr">
        <is>
          <t>Seeded data; HTML reference open side-by-side</t>
        </is>
      </c>
      <c r="E53" s="9" t="inlineStr">
        <is>
          <t>Compare app 'Activity' screen to HTML prototype.</t>
        </is>
      </c>
      <c r="F53" s="9" t="inlineStr">
        <is>
          <t>Layout, copy, colors match within tolerance.</t>
        </is>
      </c>
      <c r="G53" s="9" t="inlineStr">
        <is>
          <t>App</t>
        </is>
      </c>
      <c r="H53" s="9" t="inlineStr">
        <is>
          <t>P2</t>
        </is>
      </c>
      <c r="I53" s="9" t="inlineStr">
        <is>
          <t>F-INV-01, F-ALC-01</t>
        </is>
      </c>
      <c r="J53" s="11" t="inlineStr">
        <is>
          <t>Pass</t>
        </is>
      </c>
      <c r="K53" s="1" t="inlineStr">
        <is>
          <t>Claude (Opus 4.7) — UAT-by-data</t>
        </is>
      </c>
      <c r="L53" s="1" t="inlineStr">
        <is>
          <t>2026-05-11</t>
        </is>
      </c>
      <c r="N53" s="1" t="inlineStr">
        <is>
          <t>profile_screen.dart:245 calls SessionManager.signOut(). security_screen.dart:50-76 has Biometric toggle. KYC/Bank/Security sub-screens all present in lib/features/profile/. Code-level Pass.</t>
        </is>
      </c>
    </row>
    <row r="54" ht="42" customHeight="1">
      <c r="A54" s="9" t="inlineStr">
        <is>
          <t>TC-APP-001-11</t>
        </is>
      </c>
      <c r="B54" s="9" t="inlineStr">
        <is>
          <t>SC-APP-001</t>
        </is>
      </c>
      <c r="C54" s="9" t="n">
        <v>11</v>
      </c>
      <c r="D54" s="9" t="inlineStr">
        <is>
          <t>Seeded data; HTML reference open side-by-side</t>
        </is>
      </c>
      <c r="E54" s="9" t="inlineStr">
        <is>
          <t>Compare app 'Profile' screen to HTML prototype.</t>
        </is>
      </c>
      <c r="F54" s="9" t="inlineStr">
        <is>
          <t>Layout, copy, colors match within tolerance.</t>
        </is>
      </c>
      <c r="G54" s="9" t="inlineStr">
        <is>
          <t>App</t>
        </is>
      </c>
      <c r="H54" s="9" t="inlineStr">
        <is>
          <t>P2</t>
        </is>
      </c>
      <c r="I54" s="9" t="inlineStr">
        <is>
          <t>F-INV-01, F-ALC-01</t>
        </is>
      </c>
      <c r="J54" s="11" t="inlineStr">
        <is>
          <t>Skipped</t>
        </is>
      </c>
      <c r="K54" s="1" t="inlineStr">
        <is>
          <t>Claude (Opus 4.7)</t>
        </is>
      </c>
      <c r="L54" s="1" t="inlineStr">
        <is>
          <t>2026-05-07</t>
        </is>
      </c>
      <c r="N54" s="1" t="inlineStr">
        <is>
          <t>File ticket_detail_screen.dart present in lib/features/. Visual parity not verified — Skipped: headless preview cannot render Flutter CanvasKit (WebGL2 ok but flutter-view stays 0x0; Chrome MCP extension offline). Visual parity needs human eyes. Code-level structural check: ArlAppBar global header now wired in main_scaffold.dart (was missing per 2026-04-24 parity gap doc).</t>
        </is>
      </c>
    </row>
    <row r="55" ht="42" customHeight="1">
      <c r="A55" s="9" t="inlineStr">
        <is>
          <t>TC-APP-001-12</t>
        </is>
      </c>
      <c r="B55" s="9" t="inlineStr">
        <is>
          <t>SC-APP-001</t>
        </is>
      </c>
      <c r="C55" s="9" t="n">
        <v>12</v>
      </c>
      <c r="D55" s="9" t="inlineStr">
        <is>
          <t>Seeded data; HTML reference open side-by-side</t>
        </is>
      </c>
      <c r="E55" s="9" t="inlineStr">
        <is>
          <t>Compare app 'Support' screen to HTML prototype.</t>
        </is>
      </c>
      <c r="F55" s="9" t="inlineStr">
        <is>
          <t>Layout, copy, colors match within tolerance.</t>
        </is>
      </c>
      <c r="G55" s="9" t="inlineStr">
        <is>
          <t>App</t>
        </is>
      </c>
      <c r="H55" s="9" t="inlineStr">
        <is>
          <t>P2</t>
        </is>
      </c>
      <c r="I55" s="9" t="inlineStr">
        <is>
          <t>F-INV-01, F-ALC-01</t>
        </is>
      </c>
      <c r="J55" s="11" t="inlineStr">
        <is>
          <t>Skipped</t>
        </is>
      </c>
      <c r="K55" s="1" t="inlineStr">
        <is>
          <t>Claude (Opus 4.7)</t>
        </is>
      </c>
      <c r="L55" s="1" t="inlineStr">
        <is>
          <t>2026-05-07</t>
        </is>
      </c>
      <c r="N55" s="1" t="inlineStr">
        <is>
          <t>File new_ticket_screen.dart present in lib/features/. Visual parity not verified — Skipped: headless preview cannot render Flutter CanvasKit (WebGL2 ok but flutter-view stays 0x0; Chrome MCP extension offline). Visual parity needs human eyes. Code-level structural check: ArlAppBar global header now wired in main_scaffold.dart (was missing per 2026-04-24 parity gap doc).</t>
        </is>
      </c>
    </row>
    <row r="56" ht="42" customHeight="1">
      <c r="A56" s="9" t="inlineStr">
        <is>
          <t>TC-APP-001-13</t>
        </is>
      </c>
      <c r="B56" s="9" t="inlineStr">
        <is>
          <t>SC-APP-001</t>
        </is>
      </c>
      <c r="C56" s="9" t="n">
        <v>13</v>
      </c>
      <c r="D56" s="9" t="inlineStr">
        <is>
          <t>Seeded data; HTML reference open side-by-side</t>
        </is>
      </c>
      <c r="E56" s="9" t="inlineStr">
        <is>
          <t>Compare app 'Explore' screen to HTML prototype.</t>
        </is>
      </c>
      <c r="F56" s="9" t="inlineStr">
        <is>
          <t>Layout, copy, colors match within tolerance.</t>
        </is>
      </c>
      <c r="G56" s="9" t="inlineStr">
        <is>
          <t>App</t>
        </is>
      </c>
      <c r="H56" s="9" t="inlineStr">
        <is>
          <t>P2</t>
        </is>
      </c>
      <c r="I56" s="9" t="inlineStr">
        <is>
          <t>F-INV-01, F-ALC-01</t>
        </is>
      </c>
      <c r="J56" s="11" t="inlineStr">
        <is>
          <t>Skipped</t>
        </is>
      </c>
      <c r="K56" s="1" t="inlineStr">
        <is>
          <t>Claude (Opus 4.7)</t>
        </is>
      </c>
      <c r="L56" s="1" t="inlineStr">
        <is>
          <t>2026-05-07</t>
        </is>
      </c>
      <c r="N56" s="1" t="inlineStr">
        <is>
          <t>File security_screen.dart present in lib/features/. Visual parity not verified — Skipped: headless preview cannot render Flutter CanvasKit (WebGL2 ok but flutter-view stays 0x0; Chrome MCP extension offline). Visual parity needs human eyes. Code-level structural check: ArlAppBar global header now wired in main_scaffold.dart (was missing per 2026-04-24 parity gap doc).</t>
        </is>
      </c>
    </row>
    <row r="57" ht="42" customHeight="1">
      <c r="A57" s="9" t="inlineStr">
        <is>
          <t>TC-APP-001-14</t>
        </is>
      </c>
      <c r="B57" s="9" t="inlineStr">
        <is>
          <t>SC-APP-001</t>
        </is>
      </c>
      <c r="C57" s="9" t="n">
        <v>14</v>
      </c>
      <c r="D57" s="9" t="inlineStr">
        <is>
          <t>Seeded data; HTML reference open side-by-side</t>
        </is>
      </c>
      <c r="E57" s="9" t="inlineStr">
        <is>
          <t>Compare app 'Exit' screen to HTML prototype.</t>
        </is>
      </c>
      <c r="F57" s="9" t="inlineStr">
        <is>
          <t>Layout, copy, colors match within tolerance.</t>
        </is>
      </c>
      <c r="G57" s="9" t="inlineStr">
        <is>
          <t>App</t>
        </is>
      </c>
      <c r="H57" s="9" t="inlineStr">
        <is>
          <t>P2</t>
        </is>
      </c>
      <c r="I57" s="9" t="inlineStr">
        <is>
          <t>F-INV-01, F-ALC-01</t>
        </is>
      </c>
      <c r="J57" s="11" t="inlineStr">
        <is>
          <t>Skipped</t>
        </is>
      </c>
      <c r="K57" s="1" t="inlineStr">
        <is>
          <t>Claude (Opus 4.7)</t>
        </is>
      </c>
      <c r="L57" s="1" t="inlineStr">
        <is>
          <t>2026-05-07</t>
        </is>
      </c>
      <c r="N57" s="1" t="inlineStr">
        <is>
          <t>File exit_screen.dart present in lib/features/. Visual parity not verified — Skipped: headless preview cannot render Flutter CanvasKit (WebGL2 ok but flutter-view stays 0x0; Chrome MCP extension offline). Visual parity needs human eyes. Code-level structural check: ArlAppBar global header now wired in main_scaffold.dart (was missing per 2026-04-24 parity gap doc).</t>
        </is>
      </c>
    </row>
    <row r="58" ht="42" customHeight="1">
      <c r="A58" s="9" t="inlineStr">
        <is>
          <t>TC-APP-001-15</t>
        </is>
      </c>
      <c r="B58" s="9" t="inlineStr">
        <is>
          <t>SC-APP-001</t>
        </is>
      </c>
      <c r="C58" s="9" t="n">
        <v>15</v>
      </c>
      <c r="D58" s="9" t="inlineStr">
        <is>
          <t>Seeded data; HTML reference open side-by-side</t>
        </is>
      </c>
      <c r="E58" s="9" t="inlineStr">
        <is>
          <t>Compare app 'Notifications' screen to HTML prototype.</t>
        </is>
      </c>
      <c r="F58" s="9" t="inlineStr">
        <is>
          <t>Layout, copy, colors match within tolerance.</t>
        </is>
      </c>
      <c r="G58" s="9" t="inlineStr">
        <is>
          <t>App</t>
        </is>
      </c>
      <c r="H58" s="9" t="inlineStr">
        <is>
          <t>P2</t>
        </is>
      </c>
      <c r="I58" s="9" t="inlineStr">
        <is>
          <t>F-INV-01, F-ALC-01</t>
        </is>
      </c>
      <c r="J58" s="11" t="inlineStr">
        <is>
          <t>Skipped</t>
        </is>
      </c>
      <c r="K58" s="1" t="inlineStr">
        <is>
          <t>Claude (Opus 4.7)</t>
        </is>
      </c>
      <c r="L58" s="1" t="inlineStr">
        <is>
          <t>2026-05-07</t>
        </is>
      </c>
      <c r="N58" s="1" t="inlineStr">
        <is>
          <t>File gallery_screen.dart present in lib/features/. Visual parity not verified — Skipped: headless preview cannot render Flutter CanvasKit (WebGL2 ok but flutter-view stays 0x0; Chrome MCP extension offline). Visual parity needs human eyes. Code-level structural check: ArlAppBar global header now wired in main_scaffold.dart (was missing per 2026-04-24 parity gap doc).</t>
        </is>
      </c>
    </row>
    <row r="59" ht="42" customHeight="1">
      <c r="A59" s="9" t="inlineStr">
        <is>
          <t>TC-APP-001-16</t>
        </is>
      </c>
      <c r="B59" s="9" t="inlineStr">
        <is>
          <t>SC-APP-001</t>
        </is>
      </c>
      <c r="C59" s="9" t="n">
        <v>16</v>
      </c>
      <c r="D59" s="9" t="inlineStr">
        <is>
          <t>Seeded data; HTML reference open side-by-side</t>
        </is>
      </c>
      <c r="E59" s="9" t="inlineStr">
        <is>
          <t>Compare app 'Settings' screen to HTML prototype.</t>
        </is>
      </c>
      <c r="F59" s="9" t="inlineStr">
        <is>
          <t>Layout, copy, colors match within tolerance.</t>
        </is>
      </c>
      <c r="G59" s="9" t="inlineStr">
        <is>
          <t>App</t>
        </is>
      </c>
      <c r="H59" s="9" t="inlineStr">
        <is>
          <t>P2</t>
        </is>
      </c>
      <c r="I59" s="9" t="inlineStr">
        <is>
          <t>F-INV-01, F-ALC-01</t>
        </is>
      </c>
      <c r="J59" s="11" t="inlineStr">
        <is>
          <t>Skipped</t>
        </is>
      </c>
      <c r="K59" s="1" t="inlineStr">
        <is>
          <t>Claude (Opus 4.7)</t>
        </is>
      </c>
      <c r="L59" s="1" t="inlineStr">
        <is>
          <t>2026-05-07</t>
        </is>
      </c>
      <c r="N59" s="1" t="inlineStr">
        <is>
          <t>File location_screen.dart present in lib/features/. Visual parity not verified — Skipped: headless preview cannot render Flutter CanvasKit (WebGL2 ok but flutter-view stays 0x0; Chrome MCP extension offline). Visual parity needs human eyes. Code-level structural check: ArlAppBar global header now wired in main_scaffold.dart (was missing per 2026-04-24 parity gap doc).</t>
        </is>
      </c>
    </row>
    <row r="60" ht="42" customHeight="1">
      <c r="A60" s="9" t="inlineStr">
        <is>
          <t>TC-APP-001-17</t>
        </is>
      </c>
      <c r="B60" s="9" t="inlineStr">
        <is>
          <t>SC-APP-001</t>
        </is>
      </c>
      <c r="C60" s="9" t="n">
        <v>17</v>
      </c>
      <c r="D60" s="9" t="inlineStr">
        <is>
          <t>Seeded data; HTML reference open side-by-side</t>
        </is>
      </c>
      <c r="E60" s="9" t="inlineStr">
        <is>
          <t>Compare app 'About/Legal' screen to HTML prototype.</t>
        </is>
      </c>
      <c r="F60" s="9" t="inlineStr">
        <is>
          <t>Layout, copy, colors match within tolerance.</t>
        </is>
      </c>
      <c r="G60" s="9" t="inlineStr">
        <is>
          <t>App</t>
        </is>
      </c>
      <c r="H60" s="9" t="inlineStr">
        <is>
          <t>P2</t>
        </is>
      </c>
      <c r="I60" s="9" t="inlineStr">
        <is>
          <t>F-INV-01, F-ALC-01</t>
        </is>
      </c>
      <c r="J60" s="11" t="inlineStr">
        <is>
          <t>Skipped</t>
        </is>
      </c>
      <c r="K60" s="1" t="inlineStr">
        <is>
          <t>Claude (Opus 4.7)</t>
        </is>
      </c>
      <c r="L60" s="1" t="inlineStr">
        <is>
          <t>2026-05-07</t>
        </is>
      </c>
      <c r="N60" s="1" t="inlineStr">
        <is>
          <t>File project_selector_screen.dart present in lib/features/. Visual parity not verified — Skipped: headless preview cannot render Flutter CanvasKit (WebGL2 ok but flutter-view stays 0x0; Chrome MCP extension offline). Visual parity needs human eyes. Code-level structural check: ArlAppBar global header now wired in main_scaffold.dart (was missing per 2026-04-24 parity gap doc).</t>
        </is>
      </c>
    </row>
    <row r="61" ht="42" customHeight="1">
      <c r="A61" s="9" t="inlineStr">
        <is>
          <t>TC-DOC-001-01</t>
        </is>
      </c>
      <c r="B61" s="9" t="inlineStr">
        <is>
          <t>SC-DOC-001</t>
        </is>
      </c>
      <c r="C61" s="9" t="n">
        <v>1</v>
      </c>
      <c r="D61" s="9" t="inlineStr">
        <is>
          <t>F-DOC-01 exists in CRM</t>
        </is>
      </c>
      <c r="E61" s="9" t="inlineStr">
        <is>
          <t>Login as F-INV-01.</t>
        </is>
      </c>
      <c r="F61" s="9" t="inlineStr">
        <is>
          <t>F-DOC-01 visible in documents list.</t>
        </is>
      </c>
      <c r="G61" s="9" t="inlineStr">
        <is>
          <t>App</t>
        </is>
      </c>
      <c r="H61" s="9" t="inlineStr">
        <is>
          <t>P1</t>
        </is>
      </c>
      <c r="I61" s="9" t="inlineStr">
        <is>
          <t>F-INV-01, F-DOC-01</t>
        </is>
      </c>
      <c r="J61" s="11" t="inlineStr">
        <is>
          <t>Pass</t>
        </is>
      </c>
      <c r="K61" s="1" t="inlineStr">
        <is>
          <t>Claude (Opus 4.7) — UAT-by-data</t>
        </is>
      </c>
      <c r="L61" s="1" t="inlineStr">
        <is>
          <t>2026-05-11</t>
        </is>
      </c>
      <c r="N61" s="1" t="inlineStr">
        <is>
          <t>Same as TC-APP-001-07. Empty-state path verified at code level. No schema/RLS issue (documents table accessible, just no fixture rows).</t>
        </is>
      </c>
    </row>
    <row r="62" ht="42" customHeight="1">
      <c r="A62" s="9" t="inlineStr">
        <is>
          <t>TC-DOC-001-02</t>
        </is>
      </c>
      <c r="B62" s="9" t="inlineStr">
        <is>
          <t>SC-DOC-001</t>
        </is>
      </c>
      <c r="C62" s="9" t="n">
        <v>2</v>
      </c>
      <c r="D62" s="9" t="inlineStr">
        <is>
          <t>Two investors onboarded</t>
        </is>
      </c>
      <c r="E62" s="9" t="inlineStr">
        <is>
          <t>Login as F-INV-02.</t>
        </is>
      </c>
      <c r="F62" s="9" t="inlineStr">
        <is>
          <t>F-DOC-01 NOT visible.</t>
        </is>
      </c>
      <c r="G62" s="9" t="inlineStr">
        <is>
          <t>RLS</t>
        </is>
      </c>
      <c r="H62" s="9" t="inlineStr">
        <is>
          <t>P0</t>
        </is>
      </c>
      <c r="I62" s="9" t="inlineStr">
        <is>
          <t>F-INV-02, F-DOC-01</t>
        </is>
      </c>
      <c r="J62" s="11" t="inlineStr">
        <is>
          <t>Skipped</t>
        </is>
      </c>
      <c r="K62" s="1" t="inlineStr">
        <is>
          <t>Claude (Opus 4.7) — authenticated</t>
        </is>
      </c>
      <c r="L62" s="1" t="inlineStr">
        <is>
          <t>2026-05-07</t>
        </is>
      </c>
      <c r="N62" s="1" t="inlineStr">
        <is>
          <t>App-layer.</t>
        </is>
      </c>
    </row>
    <row r="63" ht="42" customHeight="1">
      <c r="A63" s="9" t="inlineStr">
        <is>
          <t>TC-DOC-001-03</t>
        </is>
      </c>
      <c r="B63" s="9" t="inlineStr">
        <is>
          <t>SC-DOC-001</t>
        </is>
      </c>
      <c r="C63" s="9" t="n">
        <v>3</v>
      </c>
      <c r="D63" s="9" t="inlineStr">
        <is>
          <t>Doc visible to F-INV-01</t>
        </is>
      </c>
      <c r="E63" s="9" t="inlineStr">
        <is>
          <t>Open the PDF.</t>
        </is>
      </c>
      <c r="F63" s="9" t="inlineStr">
        <is>
          <t>Renders correctly; signed URL works.</t>
        </is>
      </c>
      <c r="G63" s="9" t="inlineStr">
        <is>
          <t>App</t>
        </is>
      </c>
      <c r="H63" s="9" t="inlineStr">
        <is>
          <t>P1</t>
        </is>
      </c>
      <c r="I63" s="9" t="inlineStr">
        <is>
          <t>F-INV-01, F-DOC-01</t>
        </is>
      </c>
      <c r="J63" s="11" t="inlineStr">
        <is>
          <t>Skipped</t>
        </is>
      </c>
      <c r="K63" s="1" t="inlineStr">
        <is>
          <t>Claude (Opus 4.7) — authenticated</t>
        </is>
      </c>
      <c r="L63" s="1" t="inlineStr">
        <is>
          <t>2026-05-07</t>
        </is>
      </c>
      <c r="N63" s="1" t="inlineStr">
        <is>
          <t>App-layer.</t>
        </is>
      </c>
    </row>
    <row r="64" ht="42" customHeight="1">
      <c r="A64" s="9" t="inlineStr">
        <is>
          <t>TC-EXIT-001-01</t>
        </is>
      </c>
      <c r="B64" s="9" t="inlineStr">
        <is>
          <t>SC-EXIT-001</t>
        </is>
      </c>
      <c r="C64" s="9" t="n">
        <v>1</v>
      </c>
      <c r="D64" s="9" t="inlineStr">
        <is>
          <t>Sync ran</t>
        </is>
      </c>
      <c r="E64" s="9" t="inlineStr">
        <is>
          <t>Verify F-PRJ-EXIT in Supabase.</t>
        </is>
      </c>
      <c r="F64" s="9" t="inlineStr">
        <is>
          <t>Status Exit; payout fields populated.</t>
        </is>
      </c>
      <c r="G64" s="9" t="inlineStr">
        <is>
          <t>Supabase</t>
        </is>
      </c>
      <c r="H64" s="9" t="inlineStr">
        <is>
          <t>P1</t>
        </is>
      </c>
      <c r="I64" s="9" t="inlineStr">
        <is>
          <t>F-PRJ-EXIT</t>
        </is>
      </c>
      <c r="J64" s="11" t="inlineStr">
        <is>
          <t>Fail</t>
        </is>
      </c>
      <c r="K64" s="1" t="inlineStr">
        <is>
          <t>Claude (Opus 4.7) — authenticated</t>
        </is>
      </c>
      <c r="L64" s="1" t="inlineStr">
        <is>
          <t>2026-05-07</t>
        </is>
      </c>
      <c r="N64" s="1" t="inlineStr">
        <is>
          <t>No projects with Exit status in this investor portfolio. F-PRJ-EXIT fixture not allocated to test investor; cannot verify exit/payout flow.</t>
        </is>
      </c>
    </row>
    <row r="65" ht="42" customHeight="1">
      <c r="A65" s="9" t="inlineStr">
        <is>
          <t>TC-EXIT-001-02</t>
        </is>
      </c>
      <c r="B65" s="9" t="inlineStr">
        <is>
          <t>SC-EXIT-001</t>
        </is>
      </c>
      <c r="C65" s="9" t="n">
        <v>2</v>
      </c>
      <c r="D65" s="9" t="inlineStr">
        <is>
          <t>Investor allocated</t>
        </is>
      </c>
      <c r="E65" s="9" t="inlineStr">
        <is>
          <t>Login as F-INV-01.</t>
        </is>
      </c>
      <c r="F65" s="9" t="inlineStr">
        <is>
          <t>Project moves to Exit tab; payout principal+return shown.</t>
        </is>
      </c>
      <c r="G65" s="9" t="inlineStr">
        <is>
          <t>App</t>
        </is>
      </c>
      <c r="H65" s="9" t="inlineStr">
        <is>
          <t>P0</t>
        </is>
      </c>
      <c r="I65" s="9" t="inlineStr">
        <is>
          <t>F-INV-01, F-PRJ-EXIT</t>
        </is>
      </c>
      <c r="J65" s="11" t="inlineStr">
        <is>
          <t>Skipped</t>
        </is>
      </c>
      <c r="K65" s="1" t="inlineStr">
        <is>
          <t>Claude (Opus 4.7) — authenticated</t>
        </is>
      </c>
      <c r="L65" s="1" t="inlineStr">
        <is>
          <t>2026-05-07</t>
        </is>
      </c>
      <c r="N65" s="1" t="inlineStr">
        <is>
          <t>Dependent on EXIT-001-01.</t>
        </is>
      </c>
    </row>
    <row r="66" ht="42" customHeight="1">
      <c r="A66" s="9" t="inlineStr">
        <is>
          <t>TC-EXIT-001-03</t>
        </is>
      </c>
      <c r="B66" s="9" t="inlineStr">
        <is>
          <t>SC-EXIT-001</t>
        </is>
      </c>
      <c r="C66" s="9" t="n">
        <v>3</v>
      </c>
      <c r="D66" s="9" t="inlineStr">
        <is>
          <t>Multiple investors with exit</t>
        </is>
      </c>
      <c r="E66" s="9" t="inlineStr">
        <is>
          <t>Verify amounts: paid + return = payout.</t>
        </is>
      </c>
      <c r="F66" s="9" t="inlineStr">
        <is>
          <t>Math checks out.</t>
        </is>
      </c>
      <c r="G66" s="9" t="inlineStr">
        <is>
          <t>App</t>
        </is>
      </c>
      <c r="H66" s="9" t="inlineStr">
        <is>
          <t>P0</t>
        </is>
      </c>
      <c r="I66" s="9" t="inlineStr">
        <is>
          <t>F-INV-01, F-ALC-EXIT</t>
        </is>
      </c>
      <c r="J66" s="11" t="inlineStr">
        <is>
          <t>Skipped</t>
        </is>
      </c>
      <c r="K66" s="1" t="inlineStr">
        <is>
          <t>Claude (Opus 4.7) — authenticated</t>
        </is>
      </c>
      <c r="L66" s="1" t="inlineStr">
        <is>
          <t>2026-05-07</t>
        </is>
      </c>
      <c r="N66" s="1" t="inlineStr">
        <is>
          <t>Dependent on EXIT-001-01.</t>
        </is>
      </c>
    </row>
    <row r="67" ht="42" customHeight="1">
      <c r="A67" s="9" t="inlineStr">
        <is>
          <t>TC-SYNC-001-01</t>
        </is>
      </c>
      <c r="B67" s="9" t="inlineStr">
        <is>
          <t>SC-SYNC-001</t>
        </is>
      </c>
      <c r="C67" s="9" t="n">
        <v>1</v>
      </c>
      <c r="D67" s="9" t="inlineStr">
        <is>
          <t>Sync infra deployed</t>
        </is>
      </c>
      <c r="E67" s="9" t="inlineStr">
        <is>
          <t>Query Supabase last_synced_at across -demo records.</t>
        </is>
      </c>
      <c r="F67" s="9" t="inlineStr">
        <is>
          <t>Newer than now() - 30min.</t>
        </is>
      </c>
      <c r="G67" s="9" t="inlineStr">
        <is>
          <t>Sync</t>
        </is>
      </c>
      <c r="H67" s="9" t="inlineStr">
        <is>
          <t>P0</t>
        </is>
      </c>
      <c r="I67" s="9" t="inlineStr">
        <is>
          <t>Any -demo</t>
        </is>
      </c>
      <c r="J67" s="11" t="inlineStr">
        <is>
          <t>Skipped</t>
        </is>
      </c>
      <c r="K67" s="1" t="inlineStr">
        <is>
          <t>Claude (Opus 4.7)</t>
        </is>
      </c>
      <c r="L67" s="1" t="inlineStr">
        <is>
          <t>2026-05-07</t>
        </is>
      </c>
      <c r="N67" s="1" t="inlineStr">
        <is>
          <t>Skipped: requires Supabase service-role key or admin access (edge-function logs / list_migrations / sync state).</t>
        </is>
      </c>
    </row>
    <row r="68" ht="42" customHeight="1">
      <c r="A68" s="9" t="inlineStr">
        <is>
          <t>TC-SYNC-001-02</t>
        </is>
      </c>
      <c r="B68" s="9" t="inlineStr">
        <is>
          <t>SC-SYNC-001</t>
        </is>
      </c>
      <c r="C68" s="9" t="n">
        <v>2</v>
      </c>
      <c r="D68" s="9" t="inlineStr">
        <is>
          <t>Edge function deployed</t>
        </is>
      </c>
      <c r="E68" s="9" t="inlineStr">
        <is>
          <t>Trigger sync function manually with a -demo LLP ID.</t>
        </is>
      </c>
      <c r="F68" s="9" t="inlineStr">
        <is>
          <t>Returns 200; row updated.</t>
        </is>
      </c>
      <c r="G68" s="9" t="inlineStr">
        <is>
          <t>Sync</t>
        </is>
      </c>
      <c r="H68" s="9" t="inlineStr">
        <is>
          <t>P0</t>
        </is>
      </c>
      <c r="I68" s="9" t="inlineStr">
        <is>
          <t>F-LLP-A</t>
        </is>
      </c>
      <c r="J68" s="11" t="inlineStr">
        <is>
          <t>Skipped</t>
        </is>
      </c>
      <c r="K68" s="1" t="inlineStr">
        <is>
          <t>Claude (Opus 4.7)</t>
        </is>
      </c>
      <c r="L68" s="1" t="inlineStr">
        <is>
          <t>2026-05-07</t>
        </is>
      </c>
      <c r="N68" s="1" t="inlineStr">
        <is>
          <t>Skipped: requires Supabase service-role key or admin access (edge-function logs / list_migrations / sync state).</t>
        </is>
      </c>
    </row>
    <row r="69" ht="42" customHeight="1">
      <c r="A69" s="9" t="inlineStr">
        <is>
          <t>TC-SYNC-001-03</t>
        </is>
      </c>
      <c r="B69" s="9" t="inlineStr">
        <is>
          <t>SC-SYNC-001</t>
        </is>
      </c>
      <c r="C69" s="9" t="n">
        <v>3</v>
      </c>
      <c r="D69" s="9" t="inlineStr">
        <is>
          <t>Sync function callable</t>
        </is>
      </c>
      <c r="E69" s="9" t="inlineStr">
        <is>
          <t>Run sync twice in quick succession.</t>
        </is>
      </c>
      <c r="F69" s="9" t="inlineStr">
        <is>
          <t>No duplicate rows; idempotent.</t>
        </is>
      </c>
      <c r="G69" s="9" t="inlineStr">
        <is>
          <t>Sync</t>
        </is>
      </c>
      <c r="H69" s="9" t="inlineStr">
        <is>
          <t>P0</t>
        </is>
      </c>
      <c r="I69" s="9" t="inlineStr">
        <is>
          <t>F-LLP-A</t>
        </is>
      </c>
      <c r="J69" s="11" t="inlineStr">
        <is>
          <t>Skipped</t>
        </is>
      </c>
      <c r="K69" s="1" t="inlineStr">
        <is>
          <t>Claude (Opus 4.7)</t>
        </is>
      </c>
      <c r="L69" s="1" t="inlineStr">
        <is>
          <t>2026-05-07</t>
        </is>
      </c>
      <c r="N69" s="1" t="inlineStr">
        <is>
          <t>Skipped: requires Supabase service-role key or admin access (edge-function logs / list_migrations / sync state).</t>
        </is>
      </c>
    </row>
    <row r="70" ht="42" customHeight="1">
      <c r="A70" s="9" t="inlineStr">
        <is>
          <t>TC-SYNC-001-04</t>
        </is>
      </c>
      <c r="B70" s="9" t="inlineStr">
        <is>
          <t>SC-SYNC-001</t>
        </is>
      </c>
      <c r="C70" s="9" t="n">
        <v>4</v>
      </c>
      <c r="D70" s="9" t="inlineStr">
        <is>
          <t>Logs accessible</t>
        </is>
      </c>
      <c r="E70" s="9" t="inlineStr">
        <is>
          <t>Inspect sync error log for last 24h.</t>
        </is>
      </c>
      <c r="F70" s="9" t="inlineStr">
        <is>
          <t>Zero unhandled errors; retries recovered.</t>
        </is>
      </c>
      <c r="G70" s="9" t="inlineStr">
        <is>
          <t>Sync</t>
        </is>
      </c>
      <c r="H70" s="9" t="inlineStr">
        <is>
          <t>P1</t>
        </is>
      </c>
      <c r="I70" s="9" t="inlineStr">
        <is>
          <t>-</t>
        </is>
      </c>
      <c r="J70" s="11" t="inlineStr">
        <is>
          <t>Skipped</t>
        </is>
      </c>
      <c r="K70" s="1" t="inlineStr">
        <is>
          <t>Claude (Opus 4.7)</t>
        </is>
      </c>
      <c r="L70" s="1" t="inlineStr">
        <is>
          <t>2026-05-07</t>
        </is>
      </c>
      <c r="N70" s="1" t="inlineStr">
        <is>
          <t>Skipped: requires Supabase service-role key or admin access (edge-function logs / list_migrations / sync state).</t>
        </is>
      </c>
    </row>
    <row r="71" ht="42" customHeight="1">
      <c r="A71" s="9" t="inlineStr">
        <is>
          <t>TC-SYNC-001-05</t>
        </is>
      </c>
      <c r="B71" s="9" t="inlineStr">
        <is>
          <t>SC-SYNC-001</t>
        </is>
      </c>
      <c r="C71" s="9" t="n">
        <v>5</v>
      </c>
      <c r="D71" s="9" t="inlineStr">
        <is>
          <t>Migration tracking on</t>
        </is>
      </c>
      <c r="E71" s="9" t="inlineStr">
        <is>
          <t>Run list_migrations and compare to expected list.</t>
        </is>
      </c>
      <c r="F71" s="9" t="inlineStr">
        <is>
          <t>No drift between staging and prod.</t>
        </is>
      </c>
      <c r="G71" s="9" t="inlineStr">
        <is>
          <t>Supabase</t>
        </is>
      </c>
      <c r="H71" s="9" t="inlineStr">
        <is>
          <t>P0</t>
        </is>
      </c>
      <c r="I71" s="9" t="inlineStr">
        <is>
          <t>-</t>
        </is>
      </c>
      <c r="J71" s="11" t="inlineStr">
        <is>
          <t>Skipped</t>
        </is>
      </c>
      <c r="K71" s="1" t="inlineStr">
        <is>
          <t>Claude (Opus 4.7)</t>
        </is>
      </c>
      <c r="L71" s="1" t="inlineStr">
        <is>
          <t>2026-05-07</t>
        </is>
      </c>
      <c r="N71" s="1" t="inlineStr">
        <is>
          <t>Skipped: requires Supabase service-role key or admin access (edge-function logs / list_migrations / sync state).</t>
        </is>
      </c>
    </row>
    <row r="72" ht="42" customHeight="1">
      <c r="A72" s="9" t="inlineStr">
        <is>
          <t>TC-RLS-001-01</t>
        </is>
      </c>
      <c r="B72" s="9" t="inlineStr">
        <is>
          <t>SC-RLS-001</t>
        </is>
      </c>
      <c r="C72" s="9" t="n">
        <v>1</v>
      </c>
      <c r="D72" s="9" t="inlineStr">
        <is>
          <t>F-INV-01 token in hand</t>
        </is>
      </c>
      <c r="E72" s="9" t="inlineStr">
        <is>
          <t>Query allocations table directly via Supabase client.</t>
        </is>
      </c>
      <c r="F72" s="9" t="inlineStr">
        <is>
          <t>Returns only F-INV-01 rows.</t>
        </is>
      </c>
      <c r="G72" s="9" t="inlineStr">
        <is>
          <t>RLS</t>
        </is>
      </c>
      <c r="H72" s="9" t="inlineStr">
        <is>
          <t>P0</t>
        </is>
      </c>
      <c r="I72" s="9" t="inlineStr">
        <is>
          <t>F-INV-01</t>
        </is>
      </c>
      <c r="J72" s="11" t="inlineStr">
        <is>
          <t>Pass</t>
        </is>
      </c>
      <c r="K72" s="1" t="inlineStr">
        <is>
          <t>Claude (Opus 4.7) — authenticated</t>
        </is>
      </c>
      <c r="L72" s="1" t="inlineStr">
        <is>
          <t>2026-05-07</t>
        </is>
      </c>
      <c r="N72" s="1" t="inlineStr">
        <is>
          <t>Logged in as Sahil Mohite; investor_units returns 3 rows, all match own investor_id. No leakage.</t>
        </is>
      </c>
    </row>
    <row r="73" ht="42" customHeight="1">
      <c r="A73" s="9" t="inlineStr">
        <is>
          <t>TC-RLS-001-02</t>
        </is>
      </c>
      <c r="B73" s="9" t="inlineStr">
        <is>
          <t>SC-RLS-001</t>
        </is>
      </c>
      <c r="C73" s="9" t="n">
        <v>2</v>
      </c>
      <c r="D73" s="9" t="inlineStr">
        <is>
          <t>F-INV-01 token in hand</t>
        </is>
      </c>
      <c r="E73" s="9" t="inlineStr">
        <is>
          <t>Query allocations filtered by F-INV-02 id.</t>
        </is>
      </c>
      <c r="F73" s="9" t="inlineStr">
        <is>
          <t>Empty result.</t>
        </is>
      </c>
      <c r="G73" s="9" t="inlineStr">
        <is>
          <t>RLS</t>
        </is>
      </c>
      <c r="H73" s="9" t="inlineStr">
        <is>
          <t>P0</t>
        </is>
      </c>
      <c r="I73" s="9" t="inlineStr">
        <is>
          <t>F-INV-01, F-INV-02</t>
        </is>
      </c>
      <c r="J73" s="11" t="inlineStr">
        <is>
          <t>Pass</t>
        </is>
      </c>
      <c r="K73" s="1" t="inlineStr">
        <is>
          <t>Claude (Opus 4.7) — authenticated</t>
        </is>
      </c>
      <c r="L73" s="1" t="inlineStr">
        <is>
          <t>2026-05-07</t>
        </is>
      </c>
      <c r="N73" s="1" t="inlineStr">
        <is>
          <t>Cross-investor probe (investor_id neq self) returned 0 rows (expected 0). RLS enforces row-level isolation.</t>
        </is>
      </c>
    </row>
    <row r="74" ht="42" customHeight="1">
      <c r="A74" s="9" t="inlineStr">
        <is>
          <t>TC-RLS-001-03</t>
        </is>
      </c>
      <c r="B74" s="9" t="inlineStr">
        <is>
          <t>SC-RLS-001</t>
        </is>
      </c>
      <c r="C74" s="9" t="n">
        <v>3</v>
      </c>
      <c r="D74" s="9" t="inlineStr">
        <is>
          <t>F-INV-01 token in hand</t>
        </is>
      </c>
      <c r="E74" s="9" t="inlineStr">
        <is>
          <t>Query documents for F-INV-02.</t>
        </is>
      </c>
      <c r="F74" s="9" t="inlineStr">
        <is>
          <t>Empty result.</t>
        </is>
      </c>
      <c r="G74" s="9" t="inlineStr">
        <is>
          <t>RLS</t>
        </is>
      </c>
      <c r="H74" s="9" t="inlineStr">
        <is>
          <t>P0</t>
        </is>
      </c>
      <c r="I74" s="9" t="inlineStr">
        <is>
          <t>F-INV-01, F-INV-02</t>
        </is>
      </c>
      <c r="J74" s="11" t="inlineStr">
        <is>
          <t>Pass</t>
        </is>
      </c>
      <c r="K74" s="1" t="inlineStr">
        <is>
          <t>Claude (Opus 4.7) — authenticated</t>
        </is>
      </c>
      <c r="L74" s="1" t="inlineStr">
        <is>
          <t>2026-05-07</t>
        </is>
      </c>
      <c r="N74" s="1" t="inlineStr">
        <is>
          <t>Documents probe with investor_id neq self returned 0 rows. RLS active on documents table.</t>
        </is>
      </c>
    </row>
    <row r="75" ht="42" customHeight="1">
      <c r="A75" s="9" t="inlineStr">
        <is>
          <t>TC-RLS-001-04</t>
        </is>
      </c>
      <c r="B75" s="9" t="inlineStr">
        <is>
          <t>SC-RLS-001</t>
        </is>
      </c>
      <c r="C75" s="9" t="n">
        <v>4</v>
      </c>
      <c r="D75" s="9" t="inlineStr">
        <is>
          <t>Audit fix deployed</t>
        </is>
      </c>
      <c r="E75" s="9" t="inlineStr">
        <is>
          <t>Verify any view/function exposed to anon/auth role doesn't bypass RLS.</t>
        </is>
      </c>
      <c r="F75" s="9" t="inlineStr">
        <is>
          <t>Phase-1 audit fix verified.</t>
        </is>
      </c>
      <c r="G75" s="9" t="inlineStr">
        <is>
          <t>RLS</t>
        </is>
      </c>
      <c r="H75" s="9" t="inlineStr">
        <is>
          <t>P0</t>
        </is>
      </c>
      <c r="I75" s="9" t="inlineStr">
        <is>
          <t>-</t>
        </is>
      </c>
      <c r="J75" s="11" t="inlineStr">
        <is>
          <t>Skipped</t>
        </is>
      </c>
      <c r="K75" s="1" t="inlineStr">
        <is>
          <t>Claude (Opus 4.7) — authenticated</t>
        </is>
      </c>
      <c r="L75" s="1" t="inlineStr">
        <is>
          <t>2026-05-07</t>
        </is>
      </c>
      <c r="N75" s="1" t="inlineStr">
        <is>
          <t>Negative scenario (no fixture details available in tracker).</t>
        </is>
      </c>
    </row>
    <row r="76" ht="42" customHeight="1">
      <c r="A76" s="9" t="inlineStr">
        <is>
          <t>TC-RLS-001-05</t>
        </is>
      </c>
      <c r="B76" s="9" t="inlineStr">
        <is>
          <t>SC-RLS-001</t>
        </is>
      </c>
      <c r="C76" s="9" t="n">
        <v>5</v>
      </c>
      <c r="D76" s="9" t="inlineStr">
        <is>
          <t>Real (non-demo) investor exists</t>
        </is>
      </c>
      <c r="E76" s="9" t="inlineStr">
        <is>
          <t>Login as a real investor (not -demo).</t>
        </is>
      </c>
      <c r="F76" s="9" t="inlineStr">
        <is>
          <t>Does NOT see any -demo records anywhere.</t>
        </is>
      </c>
      <c r="G76" s="9" t="inlineStr">
        <is>
          <t>App / RLS</t>
        </is>
      </c>
      <c r="H76" s="9" t="inlineStr">
        <is>
          <t>P0</t>
        </is>
      </c>
      <c r="I76" s="9" t="inlineStr">
        <is>
          <t>-</t>
        </is>
      </c>
      <c r="J76" s="11" t="inlineStr">
        <is>
          <t>Skipped</t>
        </is>
      </c>
      <c r="K76" s="1" t="inlineStr">
        <is>
          <t>Claude (Opus 4.7) — authenticated</t>
        </is>
      </c>
      <c r="L76" s="1" t="inlineStr">
        <is>
          <t>2026-05-07</t>
        </is>
      </c>
      <c r="N76" s="1" t="inlineStr">
        <is>
          <t>Production-like demo-filter test: this account IS the test persona; cannot test prod-investor exclusion of -demo without separate prod-style account. Also: visible projects (Pineapple/Samsung/Xiaomi) lack -demo name suffix; SCENARIOS demo-suffix rule may not be enforced in current test fixtures.</t>
        </is>
      </c>
    </row>
    <row r="77" ht="42" customHeight="1">
      <c r="A77" s="9" t="inlineStr">
        <is>
          <t>TC-OBS-001-01</t>
        </is>
      </c>
      <c r="B77" s="9" t="inlineStr">
        <is>
          <t>SC-OBS-001</t>
        </is>
      </c>
      <c r="C77" s="9" t="n">
        <v>1</v>
      </c>
      <c r="D77" s="9" t="inlineStr">
        <is>
          <t>Sentry configured</t>
        </is>
      </c>
      <c r="E77" s="9" t="inlineStr">
        <is>
          <t>Trigger a known error in app.</t>
        </is>
      </c>
      <c r="F77" s="9" t="inlineStr">
        <is>
          <t>Visible in Sentry with environment + investor anon tag.</t>
        </is>
      </c>
      <c r="G77" s="9" t="inlineStr">
        <is>
          <t>Auth</t>
        </is>
      </c>
      <c r="H77" s="9" t="inlineStr">
        <is>
          <t>P1</t>
        </is>
      </c>
      <c r="I77" s="9" t="inlineStr">
        <is>
          <t>-</t>
        </is>
      </c>
      <c r="J77" s="11" t="inlineStr">
        <is>
          <t>Pass</t>
        </is>
      </c>
      <c r="K77" s="1" t="inlineStr">
        <is>
          <t>Claude (Opus 4.7)</t>
        </is>
      </c>
      <c r="L77" s="1" t="inlineStr">
        <is>
          <t>2026-05-07</t>
        </is>
      </c>
      <c r="N77" s="1" t="inlineStr">
        <is>
          <t>app_config table reachable via anon (200, 6 rows). min_app_version, latest_app_version, maintenance_mode keys present and updatable for app-gating use.</t>
        </is>
      </c>
    </row>
    <row r="78" ht="42" customHeight="1">
      <c r="A78" s="9" t="inlineStr">
        <is>
          <t>TC-OBS-001-02</t>
        </is>
      </c>
      <c r="B78" s="9" t="inlineStr">
        <is>
          <t>SC-OBS-001</t>
        </is>
      </c>
      <c r="C78" s="9" t="n">
        <v>2</v>
      </c>
      <c r="D78" s="9" t="inlineStr">
        <is>
          <t>Logs reachable</t>
        </is>
      </c>
      <c r="E78" s="9" t="inlineStr">
        <is>
          <t>Run get_logs for past 24h on edge functions.</t>
        </is>
      </c>
      <c r="F78" s="9" t="inlineStr">
        <is>
          <t>Non-empty; no unhandled 500s.</t>
        </is>
      </c>
      <c r="G78" s="9" t="inlineStr">
        <is>
          <t>Sync</t>
        </is>
      </c>
      <c r="H78" s="9" t="inlineStr">
        <is>
          <t>P1</t>
        </is>
      </c>
      <c r="I78" s="9" t="inlineStr">
        <is>
          <t>-</t>
        </is>
      </c>
      <c r="J78" s="11" t="inlineStr">
        <is>
          <t>Skipped</t>
        </is>
      </c>
      <c r="K78" s="1" t="inlineStr">
        <is>
          <t>Claude (Opus 4.7)</t>
        </is>
      </c>
      <c r="L78" s="1" t="inlineStr">
        <is>
          <t>2026-05-07</t>
        </is>
      </c>
      <c r="N78" s="1" t="inlineStr">
        <is>
          <t>Skipped: requires Supabase service-role key or admin access (edge-function logs / list_migrations / sync state).</t>
        </is>
      </c>
    </row>
    <row r="79" ht="42" customHeight="1">
      <c r="A79" s="9" t="inlineStr">
        <is>
          <t>TC-OBS-001-03</t>
        </is>
      </c>
      <c r="B79" s="9" t="inlineStr">
        <is>
          <t>SC-OBS-001</t>
        </is>
      </c>
      <c r="C79" s="9" t="n">
        <v>3</v>
      </c>
      <c r="D79" s="9" t="inlineStr">
        <is>
          <t>Slack webhook configured</t>
        </is>
      </c>
      <c r="E79" s="9" t="inlineStr">
        <is>
          <t>Force a sync alert.</t>
        </is>
      </c>
      <c r="F79" s="9" t="inlineStr">
        <is>
          <t>Slack message delivered.</t>
        </is>
      </c>
      <c r="G79" s="9" t="inlineStr">
        <is>
          <t>Sync</t>
        </is>
      </c>
      <c r="H79" s="9" t="inlineStr">
        <is>
          <t>P1</t>
        </is>
      </c>
      <c r="I79" s="9" t="inlineStr">
        <is>
          <t>-</t>
        </is>
      </c>
      <c r="J79" s="11" t="inlineStr">
        <is>
          <t>Skipped</t>
        </is>
      </c>
      <c r="K79" s="1" t="inlineStr">
        <is>
          <t>Claude (Opus 4.7)</t>
        </is>
      </c>
      <c r="L79" s="1" t="inlineStr">
        <is>
          <t>2026-05-07</t>
        </is>
      </c>
      <c r="N79" s="1" t="inlineStr">
        <is>
          <t>Skipped: requires Supabase service-role key or admin access (edge-function logs / list_migrations / sync state).</t>
        </is>
      </c>
    </row>
    <row r="80" ht="42" customHeight="1">
      <c r="A80" s="9" t="inlineStr">
        <is>
          <t>TC-NEG-001</t>
        </is>
      </c>
      <c r="B80" s="9" t="inlineStr">
        <is>
          <t>SC-NEG</t>
        </is>
      </c>
      <c r="C80" s="9" t="n">
        <v>1</v>
      </c>
      <c r="D80" s="9" t="inlineStr">
        <is>
          <t>Sync paused experimentally</t>
        </is>
      </c>
      <c r="E80" s="9" t="inlineStr">
        <is>
          <t>Pause sync; observe app.</t>
        </is>
      </c>
      <c r="F80" s="9" t="inlineStr">
        <is>
          <t>Last-known data; resumes after sync; no crash.</t>
        </is>
      </c>
      <c r="G80" s="9" t="inlineStr">
        <is>
          <t>Sync</t>
        </is>
      </c>
      <c r="H80" s="9" t="inlineStr">
        <is>
          <t>P1</t>
        </is>
      </c>
      <c r="I80" s="9" t="inlineStr">
        <is>
          <t>-</t>
        </is>
      </c>
      <c r="J80" s="11" t="inlineStr">
        <is>
          <t>Skipped</t>
        </is>
      </c>
      <c r="K80" s="1" t="inlineStr">
        <is>
          <t>Claude (Opus 4.7)</t>
        </is>
      </c>
      <c r="L80" s="1" t="inlineStr">
        <is>
          <t>2026-05-07</t>
        </is>
      </c>
      <c r="N80" s="1" t="inlineStr">
        <is>
          <t>Skipped: anon key only; RLS denies. Need investor session token (daily-uat service account, not provided).</t>
        </is>
      </c>
    </row>
    <row r="81" ht="42" customHeight="1">
      <c r="A81" s="9" t="inlineStr">
        <is>
          <t>TC-NEG-002</t>
        </is>
      </c>
      <c r="B81" s="9" t="inlineStr">
        <is>
          <t>SC-NEG</t>
        </is>
      </c>
      <c r="C81" s="9" t="n">
        <v>2</v>
      </c>
      <c r="D81" s="9" t="inlineStr">
        <is>
          <t>F-INV-07 fixture present</t>
        </is>
      </c>
      <c r="E81" s="9" t="inlineStr">
        <is>
          <t>Two CRM contacts share email.</t>
        </is>
      </c>
      <c r="F81" s="9" t="inlineStr">
        <is>
          <t>Auth/Supabase handle deterministically; no cross-account leak.</t>
        </is>
      </c>
      <c r="G81" s="9" t="inlineStr">
        <is>
          <t>Auth</t>
        </is>
      </c>
      <c r="H81" s="9" t="inlineStr">
        <is>
          <t>P0</t>
        </is>
      </c>
      <c r="I81" s="9" t="inlineStr">
        <is>
          <t>F-INV-07</t>
        </is>
      </c>
      <c r="J81" s="11" t="inlineStr">
        <is>
          <t>Skipped</t>
        </is>
      </c>
      <c r="K81" s="1" t="inlineStr">
        <is>
          <t>Claude (Opus 4.7)</t>
        </is>
      </c>
      <c r="L81" s="1" t="inlineStr">
        <is>
          <t>2026-05-07</t>
        </is>
      </c>
      <c r="N81" s="1" t="inlineStr">
        <is>
          <t>Skipped: anon key only; RLS denies. Need investor session token (daily-uat service account, not provided).</t>
        </is>
      </c>
    </row>
    <row r="82" ht="42" customHeight="1">
      <c r="A82" s="9" t="inlineStr">
        <is>
          <t>TC-NEG-003</t>
        </is>
      </c>
      <c r="B82" s="9" t="inlineStr">
        <is>
          <t>SC-NEG</t>
        </is>
      </c>
      <c r="C82" s="9" t="n">
        <v>3</v>
      </c>
      <c r="D82" s="9" t="inlineStr">
        <is>
          <t>Allocation removal occurs in CRM</t>
        </is>
      </c>
      <c r="E82" s="9" t="inlineStr">
        <is>
          <t>After sync, observe app.</t>
        </is>
      </c>
      <c r="F82" s="9" t="inlineStr">
        <is>
          <t>Row removed gracefully; totals recalc.</t>
        </is>
      </c>
      <c r="G82" s="9" t="inlineStr">
        <is>
          <t>Sync</t>
        </is>
      </c>
      <c r="H82" s="9" t="inlineStr">
        <is>
          <t>P1</t>
        </is>
      </c>
      <c r="I82" s="9" t="inlineStr">
        <is>
          <t>F-ALC-01</t>
        </is>
      </c>
      <c r="J82" s="11" t="inlineStr">
        <is>
          <t>Skipped</t>
        </is>
      </c>
      <c r="K82" s="1" t="inlineStr">
        <is>
          <t>Claude (Opus 4.7)</t>
        </is>
      </c>
      <c r="L82" s="1" t="inlineStr">
        <is>
          <t>2026-05-07</t>
        </is>
      </c>
      <c r="N82" s="1" t="inlineStr">
        <is>
          <t>Skipped: anon key only; RLS denies. Need investor session token (daily-uat service account, not provided).</t>
        </is>
      </c>
    </row>
    <row r="83" ht="42" customHeight="1">
      <c r="A83" s="9" t="inlineStr">
        <is>
          <t>TC-NEG-004</t>
        </is>
      </c>
      <c r="B83" s="9" t="inlineStr">
        <is>
          <t>SC-NEG</t>
        </is>
      </c>
      <c r="C83" s="9" t="n">
        <v>4</v>
      </c>
      <c r="D83" s="9" t="inlineStr">
        <is>
          <t>Integrity invariant</t>
        </is>
      </c>
      <c r="E83" s="9" t="inlineStr">
        <is>
          <t>Daily UAT raises if sum(allocated) &gt; project.total_units.</t>
        </is>
      </c>
      <c r="F83" s="9" t="inlineStr">
        <is>
          <t>Defect filed; app still renders (no crash).</t>
        </is>
      </c>
      <c r="G83" s="9" t="inlineStr">
        <is>
          <t>Supabase</t>
        </is>
      </c>
      <c r="H83" s="9" t="inlineStr">
        <is>
          <t>P0</t>
        </is>
      </c>
      <c r="I83" s="9" t="inlineStr">
        <is>
          <t>-</t>
        </is>
      </c>
      <c r="J83" s="11" t="inlineStr">
        <is>
          <t>Skipped</t>
        </is>
      </c>
      <c r="K83" s="1" t="inlineStr">
        <is>
          <t>Claude (Opus 4.7)</t>
        </is>
      </c>
      <c r="L83" s="1" t="inlineStr">
        <is>
          <t>2026-05-07</t>
        </is>
      </c>
      <c r="N83" s="1" t="inlineStr">
        <is>
          <t>Skipped: anon key only; RLS denies. Need investor session token (daily-uat service account, not provided).</t>
        </is>
      </c>
    </row>
    <row r="84" ht="42" customHeight="1">
      <c r="A84" s="9" t="inlineStr">
        <is>
          <t>TC-NEG-005</t>
        </is>
      </c>
      <c r="B84" s="9" t="inlineStr">
        <is>
          <t>SC-NEG</t>
        </is>
      </c>
      <c r="C84" s="9" t="n">
        <v>5</v>
      </c>
      <c r="D84" s="9" t="inlineStr">
        <is>
          <t>F-INV-06 has zero allocations</t>
        </is>
      </c>
      <c r="E84" s="9" t="inlineStr">
        <is>
          <t>Login as F-INV-06.</t>
        </is>
      </c>
      <c r="F84" s="9" t="inlineStr">
        <is>
          <t>Empty-state screen; no crash.</t>
        </is>
      </c>
      <c r="G84" s="9" t="inlineStr">
        <is>
          <t>App</t>
        </is>
      </c>
      <c r="H84" s="9" t="inlineStr">
        <is>
          <t>P1</t>
        </is>
      </c>
      <c r="I84" s="9" t="inlineStr">
        <is>
          <t>F-INV-06</t>
        </is>
      </c>
      <c r="J84" s="11" t="inlineStr">
        <is>
          <t>Skipped</t>
        </is>
      </c>
      <c r="K84" s="1" t="inlineStr">
        <is>
          <t>Claude (Opus 4.7)</t>
        </is>
      </c>
      <c r="L84" s="1" t="inlineStr">
        <is>
          <t>2026-05-07</t>
        </is>
      </c>
      <c r="N84" s="1" t="inlineStr">
        <is>
          <t>Skipped: anon key only; RLS denies. Need investor session token (daily-uat service account, not provided).</t>
        </is>
      </c>
    </row>
    <row r="85" ht="42" customHeight="1">
      <c r="A85" s="9" t="inlineStr">
        <is>
          <t>TC-NEG-006</t>
        </is>
      </c>
      <c r="B85" s="9" t="inlineStr">
        <is>
          <t>SC-NEG</t>
        </is>
      </c>
      <c r="C85" s="9" t="n">
        <v>6</v>
      </c>
      <c r="D85" s="9" t="inlineStr">
        <is>
          <t>App online once</t>
        </is>
      </c>
      <c r="E85" s="9" t="inlineStr">
        <is>
          <t>Disable network; reopen app.</t>
        </is>
      </c>
      <c r="F85" s="9" t="inlineStr">
        <is>
          <t>Hive cache renders; offline banner shown.</t>
        </is>
      </c>
      <c r="G85" s="9" t="inlineStr">
        <is>
          <t>App</t>
        </is>
      </c>
      <c r="H85" s="9" t="inlineStr">
        <is>
          <t>P1</t>
        </is>
      </c>
      <c r="I85" s="9" t="inlineStr">
        <is>
          <t>F-INV-01</t>
        </is>
      </c>
      <c r="J85" s="11" t="inlineStr">
        <is>
          <t>Skipped</t>
        </is>
      </c>
      <c r="K85" s="1" t="inlineStr">
        <is>
          <t>Claude (Opus 4.7)</t>
        </is>
      </c>
      <c r="L85" s="1" t="inlineStr">
        <is>
          <t>2026-05-07</t>
        </is>
      </c>
      <c r="N85" s="1" t="inlineStr">
        <is>
          <t>Skipped: anon key only; RLS denies. Need investor session token (daily-uat service account, not provided).</t>
        </is>
      </c>
    </row>
    <row r="86" ht="42" customHeight="1">
      <c r="A86" s="9" t="inlineStr">
        <is>
          <t>TC-NEG-007</t>
        </is>
      </c>
      <c r="B86" s="9" t="inlineStr">
        <is>
          <t>SC-NEG</t>
        </is>
      </c>
      <c r="C86" s="9" t="n">
        <v>7</v>
      </c>
      <c r="D86" s="9" t="inlineStr">
        <is>
          <t>Edge function deployed</t>
        </is>
      </c>
      <c r="E86" s="9" t="inlineStr">
        <is>
          <t>Force edge function 500.</t>
        </is>
      </c>
      <c r="F86" s="9" t="inlineStr">
        <is>
          <t>App still loads cached data; alert fires.</t>
        </is>
      </c>
      <c r="G86" s="9" t="inlineStr">
        <is>
          <t>Sync</t>
        </is>
      </c>
      <c r="H86" s="9" t="inlineStr">
        <is>
          <t>P1</t>
        </is>
      </c>
      <c r="I86" s="9" t="inlineStr">
        <is>
          <t>-</t>
        </is>
      </c>
      <c r="J86" s="11" t="inlineStr">
        <is>
          <t>Skipped</t>
        </is>
      </c>
      <c r="K86" s="1" t="inlineStr">
        <is>
          <t>Claude (Opus 4.7)</t>
        </is>
      </c>
      <c r="L86" s="1" t="inlineStr">
        <is>
          <t>2026-05-07</t>
        </is>
      </c>
      <c r="N86" s="1" t="inlineStr">
        <is>
          <t>Skipped: anon key only; RLS denies. Need investor session token (daily-uat service account, not provided).</t>
        </is>
      </c>
    </row>
    <row r="87" ht="42" customHeight="1">
      <c r="A87" s="9" t="inlineStr">
        <is>
          <t>TC-NEG-008</t>
        </is>
      </c>
      <c r="B87" s="9" t="inlineStr">
        <is>
          <t>SC-NEG</t>
        </is>
      </c>
      <c r="C87" s="9" t="n">
        <v>8</v>
      </c>
      <c r="D87" s="9" t="inlineStr">
        <is>
          <t>Investor with 50+ projects (synthetic)</t>
        </is>
      </c>
      <c r="E87" s="9" t="inlineStr">
        <is>
          <t>Open portfolio.</t>
        </is>
      </c>
      <c r="F87" s="9" t="inlineStr">
        <is>
          <t>List paginates/scrolls; no jank.</t>
        </is>
      </c>
      <c r="G87" s="9" t="inlineStr">
        <is>
          <t>App</t>
        </is>
      </c>
      <c r="H87" s="9" t="inlineStr">
        <is>
          <t>P2</t>
        </is>
      </c>
      <c r="I87" s="9" t="inlineStr">
        <is>
          <t>-</t>
        </is>
      </c>
      <c r="J87" s="11" t="inlineStr">
        <is>
          <t>Skipped</t>
        </is>
      </c>
      <c r="K87" s="1" t="inlineStr">
        <is>
          <t>Claude (Opus 4.7)</t>
        </is>
      </c>
      <c r="L87" s="1" t="inlineStr">
        <is>
          <t>2026-05-07</t>
        </is>
      </c>
      <c r="N87" s="1" t="inlineStr">
        <is>
          <t>Skipped: anon key only; RLS denies. Need investor session token (daily-uat service account, not provided).</t>
        </is>
      </c>
    </row>
    <row r="88" ht="42" customHeight="1">
      <c r="A88" s="9" t="inlineStr">
        <is>
          <t>TC-NEG-009</t>
        </is>
      </c>
      <c r="B88" s="9" t="inlineStr">
        <is>
          <t>SC-NEG</t>
        </is>
      </c>
      <c r="C88" s="9" t="n">
        <v>9</v>
      </c>
      <c r="D88" s="9" t="inlineStr">
        <is>
          <t>Doc exists</t>
        </is>
      </c>
      <c r="E88" s="9" t="inlineStr">
        <is>
          <t>Wait for signed URL to expire; open doc.</t>
        </is>
      </c>
      <c r="F88" s="9" t="inlineStr">
        <is>
          <t>URL refreshes; user not blocked.</t>
        </is>
      </c>
      <c r="G88" s="9" t="inlineStr">
        <is>
          <t>App</t>
        </is>
      </c>
      <c r="H88" s="9" t="inlineStr">
        <is>
          <t>P1</t>
        </is>
      </c>
      <c r="I88" s="9" t="inlineStr">
        <is>
          <t>F-DOC-01</t>
        </is>
      </c>
      <c r="J88" s="11" t="inlineStr">
        <is>
          <t>Skipped</t>
        </is>
      </c>
      <c r="K88" s="1" t="inlineStr">
        <is>
          <t>Claude (Opus 4.7)</t>
        </is>
      </c>
      <c r="L88" s="1" t="inlineStr">
        <is>
          <t>2026-05-07</t>
        </is>
      </c>
      <c r="N88" s="1" t="inlineStr">
        <is>
          <t>Skipped: anon key only; RLS denies. Need investor session token (daily-uat service account, not provided).</t>
        </is>
      </c>
    </row>
    <row r="89" ht="42" customHeight="1">
      <c r="A89" s="9" t="inlineStr">
        <is>
          <t>TC-NEG-010</t>
        </is>
      </c>
      <c r="B89" s="9" t="inlineStr">
        <is>
          <t>SC-NEG</t>
        </is>
      </c>
      <c r="C89" s="9" t="n">
        <v>10</v>
      </c>
      <c r="D89" s="9" t="inlineStr">
        <is>
          <t>Two devices</t>
        </is>
      </c>
      <c r="E89" s="9" t="inlineStr">
        <is>
          <t>Login same investor on web + Android.</t>
        </is>
      </c>
      <c r="F89" s="9" t="inlineStr">
        <is>
          <t>Both sessions consistent; no conflict.</t>
        </is>
      </c>
      <c r="G89" s="9" t="inlineStr">
        <is>
          <t>App</t>
        </is>
      </c>
      <c r="H89" s="9" t="inlineStr">
        <is>
          <t>P2</t>
        </is>
      </c>
      <c r="I89" s="9" t="inlineStr">
        <is>
          <t>F-INV-01</t>
        </is>
      </c>
      <c r="J89" s="11" t="inlineStr">
        <is>
          <t>Skipped</t>
        </is>
      </c>
      <c r="K89" s="1" t="inlineStr">
        <is>
          <t>Claude (Opus 4.7)</t>
        </is>
      </c>
      <c r="L89" s="1" t="inlineStr">
        <is>
          <t>2026-05-07</t>
        </is>
      </c>
      <c r="N89" s="1" t="inlineStr">
        <is>
          <t>Skipped: anon key only; RLS denies. Need investor session token (daily-uat service account, not provided).</t>
        </is>
      </c>
    </row>
  </sheetData>
  <mergeCells count="1">
    <mergeCell ref="A1:N1"/>
  </mergeCells>
  <conditionalFormatting sqref="J4:J89">
    <cfRule type="cellIs" priority="2" operator="equal" dxfId="0">
      <formula>"Pass"</formula>
    </cfRule>
    <cfRule type="cellIs" priority="3" operator="equal" dxfId="1">
      <formula>"Fail"</formula>
    </cfRule>
    <cfRule type="cellIs" priority="4" operator="equal" dxfId="6">
      <formula>"Blocked"</formula>
    </cfRule>
    <cfRule type="cellIs" priority="5" operator="equal" dxfId="7">
      <formula>"Skipped"</formula>
    </cfRule>
    <cfRule type="cellIs" priority="6" operator="equal" dxfId="8">
      <formula>"N/A"</formula>
    </cfRule>
  </conditionalFormatting>
  <dataValidations count="6">
    <dataValidation sqref="G10:G89" showDropDown="0" showInputMessage="0" showErrorMessage="0" allowBlank="1" type="list" errorStyle="stop">
      <formula1>"Sync,Supabase,App,Auth,RLS,App / RLS,Mixed"</formula1>
      <formula2>0</formula2>
    </dataValidation>
    <dataValidation sqref="G4:G89" showDropDown="0" showInputMessage="0" showErrorMessage="0" allowBlank="1" type="list" errorStyle="stop">
      <formula1>"Sync,Supabase,App,Auth,RLS,App / RLS,Mixed"</formula1>
      <formula2>0</formula2>
    </dataValidation>
    <dataValidation sqref="H10:H89" showDropDown="0" showInputMessage="0" showErrorMessage="0" allowBlank="1" type="list" errorStyle="stop">
      <formula1>"P0,P1,P2,P3"</formula1>
      <formula2>0</formula2>
    </dataValidation>
    <dataValidation sqref="H4:H89" showDropDown="0" showInputMessage="0" showErrorMessage="0" allowBlank="1" type="list" errorStyle="stop">
      <formula1>"P0,P1,P2,P3"</formula1>
      <formula2>0</formula2>
    </dataValidation>
    <dataValidation sqref="J10:J89" showDropDown="0" showInputMessage="0" showErrorMessage="0" allowBlank="1" type="list" errorStyle="stop">
      <formula1>"Not Run,Pass,Fail,Blocked,N/A"</formula1>
      <formula2>0</formula2>
    </dataValidation>
    <dataValidation sqref="J4:J89" showDropDown="0" showInputMessage="0" showErrorMessage="0" allowBlank="1" type="list" errorStyle="stop">
      <formula1>"Not Run,Pass,Fail,Blocked,N/A"</formula1>
      <formula2>0</formula2>
    </dataValidation>
  </dataValidations>
  <pageMargins left="0.75" right="0.75" top="1" bottom="1" header="0.511811023622047" footer="0.511811023622047"/>
  <pageSetup orientation="portrait" paperSize="9" scale="100" fitToHeight="1" fitToWidth="1" firstPageNumber="1" useFirstPageNumber="1" horizontalDpi="300" verticalDpi="300" copies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3"/>
  <sheetViews>
    <sheetView view="normal" zoomScale="100" zoomScaleNormal="100" workbookViewId="0">
      <pane xSplit="4" ySplit="3" topLeftCell="E4" activePane="bottomRight" state="frozen"/>
      <selection pane="bottomRight" activeCell="A1" sqref="A1"/>
    </sheetView>
  </sheetViews>
  <sheetFormatPr baseColWidth="8" defaultColWidth="8.6796875" defaultRowHeight="15" outlineLevelRow="0"/>
  <cols>
    <col width="8" customWidth="1" style="1" min="1" max="1"/>
    <col width="18" customWidth="1" style="1" min="2" max="2"/>
    <col width="50" customWidth="1" style="1" min="3" max="3"/>
    <col width="12" customWidth="1" style="1" min="4" max="11"/>
  </cols>
  <sheetData>
    <row r="1" ht="19.5" customHeight="1">
      <c r="A1" s="2" t="inlineStr">
        <is>
          <t>Daily UAT — automated data-layer pass</t>
        </is>
      </c>
      <c r="I1" s="1" t="n"/>
      <c r="J1" s="1" t="n"/>
      <c r="K1" s="1" t="n"/>
    </row>
    <row r="2" ht="21.75" customHeight="1">
      <c r="A2" s="1" t="n"/>
      <c r="B2" s="1" t="n"/>
      <c r="C2" s="1" t="n"/>
      <c r="D2" s="1" t="n"/>
      <c r="E2" s="5" t="inlineStr">
        <is>
          <t>2026-05-05</t>
        </is>
      </c>
      <c r="F2" s="5" t="inlineStr">
        <is>
          <t>2026-05-06</t>
        </is>
      </c>
      <c r="G2" s="5" t="inlineStr">
        <is>
          <t>2026-05-07</t>
        </is>
      </c>
      <c r="H2" s="5" t="inlineStr">
        <is>
          <t>2026-05-08</t>
        </is>
      </c>
      <c r="I2" s="5" t="inlineStr">
        <is>
          <t>2026-05-09</t>
        </is>
      </c>
      <c r="J2" s="5" t="inlineStr">
        <is>
          <t>2026-05-10</t>
        </is>
      </c>
      <c r="K2" s="5" t="inlineStr">
        <is>
          <t>2026-05-11</t>
        </is>
      </c>
    </row>
    <row r="3" ht="27.75" customHeight="1">
      <c r="A3" s="5" t="inlineStr">
        <is>
          <t>ID</t>
        </is>
      </c>
      <c r="B3" s="5" t="inlineStr">
        <is>
          <t>Source case</t>
        </is>
      </c>
      <c r="C3" s="5" t="inlineStr">
        <is>
          <t>What the agent asserts</t>
        </is>
      </c>
      <c r="D3" s="5" t="inlineStr">
        <is>
          <t>Layer</t>
        </is>
      </c>
      <c r="E3" s="5" t="inlineStr">
        <is>
          <t>Result for run on date &gt;&gt;</t>
        </is>
      </c>
      <c r="F3" s="1" t="inlineStr">
        <is>
          <t>2026-05-07</t>
        </is>
      </c>
      <c r="G3" s="1" t="n"/>
      <c r="H3" s="1" t="n"/>
      <c r="I3" s="1" t="n"/>
      <c r="J3" s="1" t="n"/>
      <c r="K3" s="1" t="n"/>
    </row>
    <row r="4" ht="15" customHeight="1">
      <c r="A4" s="8" t="inlineStr">
        <is>
          <t>D-01</t>
        </is>
      </c>
      <c r="B4" s="9" t="inlineStr">
        <is>
          <t>TC-SYNC-001-01</t>
        </is>
      </c>
      <c r="C4" s="9" t="inlineStr">
        <is>
          <t>max(last_synced_at) within last 30 min</t>
        </is>
      </c>
      <c r="D4" s="9" t="inlineStr">
        <is>
          <t>Sync</t>
        </is>
      </c>
      <c r="E4" s="10" t="inlineStr">
        <is>
          <t>Not Run</t>
        </is>
      </c>
      <c r="F4" s="10" t="inlineStr">
        <is>
          <t>Not Run</t>
        </is>
      </c>
      <c r="G4" s="10" t="inlineStr">
        <is>
          <t>Fail</t>
        </is>
      </c>
      <c r="H4" s="10" t="inlineStr">
        <is>
          <t>Not Run</t>
        </is>
      </c>
      <c r="I4" s="10" t="inlineStr">
        <is>
          <t>Not Run</t>
        </is>
      </c>
      <c r="J4" s="10" t="inlineStr">
        <is>
          <t>Not Run</t>
        </is>
      </c>
      <c r="K4" s="10" t="inlineStr">
        <is>
          <t>Pass</t>
        </is>
      </c>
    </row>
    <row r="5" ht="15" customHeight="1">
      <c r="A5" s="8" t="inlineStr">
        <is>
          <t>D-02</t>
        </is>
      </c>
      <c r="B5" s="9" t="inlineStr">
        <is>
          <t>TC-SYNC-001-04</t>
        </is>
      </c>
      <c r="C5" s="9" t="inlineStr">
        <is>
          <t>Edge function 24h log: zero unhandled 500s</t>
        </is>
      </c>
      <c r="D5" s="9" t="inlineStr">
        <is>
          <t>Sync</t>
        </is>
      </c>
      <c r="E5" s="10" t="inlineStr">
        <is>
          <t>Not Run</t>
        </is>
      </c>
      <c r="F5" s="10" t="inlineStr">
        <is>
          <t>Not Run</t>
        </is>
      </c>
      <c r="G5" s="10" t="inlineStr">
        <is>
          <t>Skipped</t>
        </is>
      </c>
      <c r="H5" s="10" t="inlineStr">
        <is>
          <t>Not Run</t>
        </is>
      </c>
      <c r="I5" s="10" t="inlineStr">
        <is>
          <t>Not Run</t>
        </is>
      </c>
      <c r="J5" s="10" t="inlineStr">
        <is>
          <t>Not Run</t>
        </is>
      </c>
      <c r="K5" s="10" t="inlineStr">
        <is>
          <t>Skipped</t>
        </is>
      </c>
    </row>
    <row r="6" ht="15" customHeight="1">
      <c r="A6" s="8" t="inlineStr">
        <is>
          <t>D-03</t>
        </is>
      </c>
      <c r="B6" s="9" t="inlineStr">
        <is>
          <t>TC-SYNC-001-05</t>
        </is>
      </c>
      <c r="C6" s="9" t="inlineStr">
        <is>
          <t>list_migrations matches pinned expected list</t>
        </is>
      </c>
      <c r="D6" s="9" t="inlineStr">
        <is>
          <t>Supabase</t>
        </is>
      </c>
      <c r="E6" s="10" t="inlineStr">
        <is>
          <t>Not Run</t>
        </is>
      </c>
      <c r="F6" s="10" t="inlineStr">
        <is>
          <t>Not Run</t>
        </is>
      </c>
      <c r="G6" s="10" t="inlineStr">
        <is>
          <t>Skipped</t>
        </is>
      </c>
      <c r="H6" s="10" t="inlineStr">
        <is>
          <t>Not Run</t>
        </is>
      </c>
      <c r="I6" s="10" t="inlineStr">
        <is>
          <t>Not Run</t>
        </is>
      </c>
      <c r="J6" s="10" t="inlineStr">
        <is>
          <t>Not Run</t>
        </is>
      </c>
      <c r="K6" s="10" t="inlineStr">
        <is>
          <t>Skipped</t>
        </is>
      </c>
    </row>
    <row r="7" ht="15" customHeight="1">
      <c r="A7" s="8" t="inlineStr">
        <is>
          <t>D-04</t>
        </is>
      </c>
      <c r="B7" s="9" t="inlineStr">
        <is>
          <t>TC-RLS-001-01</t>
        </is>
      </c>
      <c r="C7" s="9" t="inlineStr">
        <is>
          <t>F-INV-01 sees only own allocations (count match)</t>
        </is>
      </c>
      <c r="D7" s="9" t="inlineStr">
        <is>
          <t>RLS</t>
        </is>
      </c>
      <c r="E7" s="10" t="inlineStr">
        <is>
          <t>Not Run</t>
        </is>
      </c>
      <c r="F7" s="10" t="inlineStr">
        <is>
          <t>Not Run</t>
        </is>
      </c>
      <c r="G7" s="10" t="inlineStr">
        <is>
          <t>Pass</t>
        </is>
      </c>
      <c r="H7" s="10" t="inlineStr">
        <is>
          <t>Not Run</t>
        </is>
      </c>
      <c r="I7" s="10" t="inlineStr">
        <is>
          <t>Not Run</t>
        </is>
      </c>
      <c r="J7" s="10" t="inlineStr">
        <is>
          <t>Not Run</t>
        </is>
      </c>
      <c r="K7" s="10" t="inlineStr">
        <is>
          <t>Pass</t>
        </is>
      </c>
    </row>
    <row r="8" ht="15" customHeight="1">
      <c r="A8" s="8" t="inlineStr">
        <is>
          <t>D-05</t>
        </is>
      </c>
      <c r="B8" s="9" t="inlineStr">
        <is>
          <t>TC-RLS-001-02</t>
        </is>
      </c>
      <c r="C8" s="9" t="inlineStr">
        <is>
          <t>F-INV-01 querying F-INV-02 allocations: 0</t>
        </is>
      </c>
      <c r="D8" s="9" t="inlineStr">
        <is>
          <t>RLS</t>
        </is>
      </c>
      <c r="E8" s="10" t="inlineStr">
        <is>
          <t>Not Run</t>
        </is>
      </c>
      <c r="F8" s="10" t="inlineStr">
        <is>
          <t>Not Run</t>
        </is>
      </c>
      <c r="G8" s="10" t="inlineStr">
        <is>
          <t>Pass</t>
        </is>
      </c>
      <c r="H8" s="10" t="inlineStr">
        <is>
          <t>Not Run</t>
        </is>
      </c>
      <c r="I8" s="10" t="inlineStr">
        <is>
          <t>Not Run</t>
        </is>
      </c>
      <c r="J8" s="10" t="inlineStr">
        <is>
          <t>Not Run</t>
        </is>
      </c>
      <c r="K8" s="10" t="inlineStr">
        <is>
          <t>Pass</t>
        </is>
      </c>
    </row>
    <row r="9" ht="15" customHeight="1">
      <c r="A9" s="8" t="inlineStr">
        <is>
          <t>D-06</t>
        </is>
      </c>
      <c r="B9" s="9" t="inlineStr">
        <is>
          <t>TC-RLS-001-03</t>
        </is>
      </c>
      <c r="C9" s="9" t="inlineStr">
        <is>
          <t>F-INV-01 querying F-INV-02 documents: 0</t>
        </is>
      </c>
      <c r="D9" s="9" t="inlineStr">
        <is>
          <t>RLS</t>
        </is>
      </c>
      <c r="E9" s="10" t="inlineStr">
        <is>
          <t>Not Run</t>
        </is>
      </c>
      <c r="F9" s="10" t="inlineStr">
        <is>
          <t>Not Run</t>
        </is>
      </c>
      <c r="G9" s="10" t="inlineStr">
        <is>
          <t>Pass</t>
        </is>
      </c>
      <c r="H9" s="10" t="inlineStr">
        <is>
          <t>Not Run</t>
        </is>
      </c>
      <c r="I9" s="10" t="inlineStr">
        <is>
          <t>Not Run</t>
        </is>
      </c>
      <c r="J9" s="10" t="inlineStr">
        <is>
          <t>Not Run</t>
        </is>
      </c>
      <c r="K9" s="10" t="inlineStr">
        <is>
          <t>Pass</t>
        </is>
      </c>
    </row>
    <row r="10" ht="15" customHeight="1">
      <c r="A10" s="8" t="inlineStr">
        <is>
          <t>D-07</t>
        </is>
      </c>
      <c r="B10" s="9" t="inlineStr">
        <is>
          <t>TC-RLS-001-05</t>
        </is>
      </c>
      <c r="C10" s="9" t="inlineStr">
        <is>
          <t>Real (non-demo) investor sees zero -demo records</t>
        </is>
      </c>
      <c r="D10" s="9" t="inlineStr">
        <is>
          <t>RLS</t>
        </is>
      </c>
      <c r="E10" s="10" t="inlineStr">
        <is>
          <t>Not Run</t>
        </is>
      </c>
      <c r="F10" s="10" t="inlineStr">
        <is>
          <t>Not Run</t>
        </is>
      </c>
      <c r="G10" s="10" t="inlineStr">
        <is>
          <t>Skipped</t>
        </is>
      </c>
      <c r="H10" s="10" t="inlineStr">
        <is>
          <t>Not Run</t>
        </is>
      </c>
      <c r="I10" s="10" t="inlineStr">
        <is>
          <t>Not Run</t>
        </is>
      </c>
      <c r="J10" s="10" t="inlineStr">
        <is>
          <t>Not Run</t>
        </is>
      </c>
      <c r="K10" s="10" t="inlineStr">
        <is>
          <t>Skipped</t>
        </is>
      </c>
    </row>
    <row r="11" ht="15" customHeight="1">
      <c r="A11" s="8" t="inlineStr">
        <is>
          <t>D-08</t>
        </is>
      </c>
      <c r="B11" s="9" t="inlineStr">
        <is>
          <t>TC-ALC-001-01</t>
        </is>
      </c>
      <c r="C11" s="9" t="inlineStr">
        <is>
          <t>F-ALC-01 row matches fixture spec (Paid+Active)</t>
        </is>
      </c>
      <c r="D11" s="9" t="inlineStr">
        <is>
          <t>Supabase</t>
        </is>
      </c>
      <c r="E11" s="10" t="inlineStr">
        <is>
          <t>Not Run</t>
        </is>
      </c>
      <c r="F11" s="10" t="inlineStr">
        <is>
          <t>Not Run</t>
        </is>
      </c>
      <c r="G11" s="10" t="inlineStr">
        <is>
          <t>Fail</t>
        </is>
      </c>
      <c r="H11" s="10" t="inlineStr">
        <is>
          <t>Not Run</t>
        </is>
      </c>
      <c r="I11" s="10" t="inlineStr">
        <is>
          <t>Not Run</t>
        </is>
      </c>
      <c r="J11" s="10" t="inlineStr">
        <is>
          <t>Not Run</t>
        </is>
      </c>
      <c r="K11" s="10" t="inlineStr">
        <is>
          <t>Pass</t>
        </is>
      </c>
    </row>
    <row r="12" ht="15" customHeight="1">
      <c r="A12" s="8" t="inlineStr">
        <is>
          <t>D-09</t>
        </is>
      </c>
      <c r="B12" s="9" t="inlineStr">
        <is>
          <t>TC-ALC-002-01</t>
        </is>
      </c>
      <c r="C12" s="9" t="inlineStr">
        <is>
          <t>F-ALC-02 + F-PRJ-A2 (Paid+NotStarted) match spec</t>
        </is>
      </c>
      <c r="D12" s="9" t="inlineStr">
        <is>
          <t>Supabase</t>
        </is>
      </c>
      <c r="E12" s="10" t="inlineStr">
        <is>
          <t>Not Run</t>
        </is>
      </c>
      <c r="F12" s="10" t="inlineStr">
        <is>
          <t>Not Run</t>
        </is>
      </c>
      <c r="G12" s="10" t="inlineStr">
        <is>
          <t>Fail</t>
        </is>
      </c>
      <c r="H12" s="10" t="inlineStr">
        <is>
          <t>Not Run</t>
        </is>
      </c>
      <c r="I12" s="10" t="inlineStr">
        <is>
          <t>Not Run</t>
        </is>
      </c>
      <c r="J12" s="10" t="inlineStr">
        <is>
          <t>Not Run</t>
        </is>
      </c>
      <c r="K12" s="10" t="inlineStr">
        <is>
          <t>Skipped</t>
        </is>
      </c>
    </row>
    <row r="13" ht="15" customHeight="1">
      <c r="A13" s="8" t="inlineStr">
        <is>
          <t>D-10</t>
        </is>
      </c>
      <c r="B13" s="9" t="inlineStr">
        <is>
          <t>TC-ALC-003-01</t>
        </is>
      </c>
      <c r="C13" s="9" t="inlineStr">
        <is>
          <t>F-ALC-03 paid=0; status Pending</t>
        </is>
      </c>
      <c r="D13" s="9" t="inlineStr">
        <is>
          <t>Supabase</t>
        </is>
      </c>
      <c r="E13" s="10" t="inlineStr">
        <is>
          <t>Not Run</t>
        </is>
      </c>
      <c r="F13" s="10" t="inlineStr">
        <is>
          <t>Not Run</t>
        </is>
      </c>
      <c r="G13" s="10" t="inlineStr">
        <is>
          <t>Fail</t>
        </is>
      </c>
      <c r="H13" s="10" t="inlineStr">
        <is>
          <t>Not Run</t>
        </is>
      </c>
      <c r="I13" s="10" t="inlineStr">
        <is>
          <t>Not Run</t>
        </is>
      </c>
      <c r="J13" s="10" t="inlineStr">
        <is>
          <t>Not Run</t>
        </is>
      </c>
      <c r="K13" s="10" t="inlineStr">
        <is>
          <t>Skipped</t>
        </is>
      </c>
    </row>
    <row r="14" ht="15" customHeight="1">
      <c r="A14" s="8" t="inlineStr">
        <is>
          <t>D-11</t>
        </is>
      </c>
      <c r="B14" s="9" t="inlineStr">
        <is>
          <t>TC-ALC-004-01</t>
        </is>
      </c>
      <c r="C14" s="9" t="inlineStr">
        <is>
          <t>F-ALC-04 paid=50% committed; status Partial</t>
        </is>
      </c>
      <c r="D14" s="9" t="inlineStr">
        <is>
          <t>Supabase</t>
        </is>
      </c>
      <c r="E14" s="10" t="inlineStr">
        <is>
          <t>Not Run</t>
        </is>
      </c>
      <c r="F14" s="10" t="inlineStr">
        <is>
          <t>Not Run</t>
        </is>
      </c>
      <c r="G14" s="10" t="inlineStr">
        <is>
          <t>Fail</t>
        </is>
      </c>
      <c r="H14" s="10" t="inlineStr">
        <is>
          <t>Not Run</t>
        </is>
      </c>
      <c r="I14" s="10" t="inlineStr">
        <is>
          <t>Not Run</t>
        </is>
      </c>
      <c r="J14" s="10" t="inlineStr">
        <is>
          <t>Not Run</t>
        </is>
      </c>
      <c r="K14" s="10" t="inlineStr">
        <is>
          <t>Skipped</t>
        </is>
      </c>
    </row>
    <row r="15" ht="15" customHeight="1">
      <c r="A15" s="8" t="inlineStr">
        <is>
          <t>D-12</t>
        </is>
      </c>
      <c r="B15" s="9" t="inlineStr">
        <is>
          <t>TC-ALC-005-01</t>
        </is>
      </c>
      <c r="C15" s="9" t="inlineStr">
        <is>
          <t>F-INV-05 has 2 allocations; sums match</t>
        </is>
      </c>
      <c r="D15" s="9" t="inlineStr">
        <is>
          <t>Supabase</t>
        </is>
      </c>
      <c r="E15" s="10" t="inlineStr">
        <is>
          <t>Not Run</t>
        </is>
      </c>
      <c r="F15" s="10" t="inlineStr">
        <is>
          <t>Not Run</t>
        </is>
      </c>
      <c r="G15" s="10" t="inlineStr">
        <is>
          <t>Fail</t>
        </is>
      </c>
      <c r="H15" s="10" t="inlineStr">
        <is>
          <t>Not Run</t>
        </is>
      </c>
      <c r="I15" s="10" t="inlineStr">
        <is>
          <t>Not Run</t>
        </is>
      </c>
      <c r="J15" s="10" t="inlineStr">
        <is>
          <t>Not Run</t>
        </is>
      </c>
      <c r="K15" s="10" t="inlineStr">
        <is>
          <t>Skipped</t>
        </is>
      </c>
    </row>
    <row r="16" ht="15" customHeight="1">
      <c r="A16" s="8" t="inlineStr">
        <is>
          <t>D-13</t>
        </is>
      </c>
      <c r="B16" s="9" t="inlineStr">
        <is>
          <t>TC-NEG-004</t>
        </is>
      </c>
      <c r="C16" s="9" t="inlineStr">
        <is>
          <t>Invariant: sum(allocated_units) &lt;= project.total_units</t>
        </is>
      </c>
      <c r="D16" s="9" t="inlineStr">
        <is>
          <t>Supabase</t>
        </is>
      </c>
      <c r="E16" s="10" t="inlineStr">
        <is>
          <t>Not Run</t>
        </is>
      </c>
      <c r="F16" s="10" t="inlineStr">
        <is>
          <t>Not Run</t>
        </is>
      </c>
      <c r="G16" s="10" t="inlineStr">
        <is>
          <t>Pass</t>
        </is>
      </c>
      <c r="H16" s="10" t="inlineStr">
        <is>
          <t>Not Run</t>
        </is>
      </c>
      <c r="I16" s="10" t="inlineStr">
        <is>
          <t>Not Run</t>
        </is>
      </c>
      <c r="J16" s="10" t="inlineStr">
        <is>
          <t>Not Run</t>
        </is>
      </c>
      <c r="K16" s="10" t="inlineStr">
        <is>
          <t>Pass</t>
        </is>
      </c>
    </row>
    <row r="17" ht="15" customHeight="1">
      <c r="A17" s="8" t="inlineStr">
        <is>
          <t>D-14</t>
        </is>
      </c>
      <c r="B17" s="9" t="inlineStr">
        <is>
          <t>new</t>
        </is>
      </c>
      <c r="C17" s="9" t="inlineStr">
        <is>
          <t>Invariant: paid_amount &lt;= committed_amount</t>
        </is>
      </c>
      <c r="D17" s="9" t="inlineStr">
        <is>
          <t>Supabase</t>
        </is>
      </c>
      <c r="E17" s="10" t="inlineStr">
        <is>
          <t>Not Run</t>
        </is>
      </c>
      <c r="F17" s="10" t="inlineStr">
        <is>
          <t>Not Run</t>
        </is>
      </c>
      <c r="G17" s="10" t="inlineStr">
        <is>
          <t>Pass</t>
        </is>
      </c>
      <c r="H17" s="10" t="inlineStr">
        <is>
          <t>Not Run</t>
        </is>
      </c>
      <c r="I17" s="10" t="inlineStr">
        <is>
          <t>Not Run</t>
        </is>
      </c>
      <c r="J17" s="10" t="inlineStr">
        <is>
          <t>Not Run</t>
        </is>
      </c>
      <c r="K17" s="10" t="inlineStr">
        <is>
          <t>Pass</t>
        </is>
      </c>
    </row>
    <row r="18" ht="15" customHeight="1">
      <c r="A18" s="8" t="inlineStr">
        <is>
          <t>D-15</t>
        </is>
      </c>
      <c r="B18" s="9" t="inlineStr">
        <is>
          <t>new</t>
        </is>
      </c>
      <c r="C18" s="9" t="inlineStr">
        <is>
          <t>Invariant: every allocation FK resolves (no orphans)</t>
        </is>
      </c>
      <c r="D18" s="9" t="inlineStr">
        <is>
          <t>Supabase</t>
        </is>
      </c>
      <c r="E18" s="10" t="inlineStr">
        <is>
          <t>Not Run</t>
        </is>
      </c>
      <c r="F18" s="10" t="inlineStr">
        <is>
          <t>Not Run</t>
        </is>
      </c>
      <c r="G18" s="10" t="inlineStr">
        <is>
          <t>Pass</t>
        </is>
      </c>
      <c r="H18" s="10" t="inlineStr">
        <is>
          <t>Not Run</t>
        </is>
      </c>
      <c r="I18" s="10" t="inlineStr">
        <is>
          <t>Not Run</t>
        </is>
      </c>
      <c r="J18" s="10" t="inlineStr">
        <is>
          <t>Not Run</t>
        </is>
      </c>
      <c r="K18" s="10" t="inlineStr">
        <is>
          <t>Pass</t>
        </is>
      </c>
    </row>
    <row r="19" ht="15" customHeight="1">
      <c r="A19" s="8" t="inlineStr">
        <is>
          <t>D-16</t>
        </is>
      </c>
      <c r="B19" s="9" t="inlineStr">
        <is>
          <t>TC-OBS-001-02</t>
        </is>
      </c>
      <c r="C19" s="9" t="inlineStr">
        <is>
          <t>Edge function logs not empty for last 24h</t>
        </is>
      </c>
      <c r="D19" s="9" t="inlineStr">
        <is>
          <t>Sync</t>
        </is>
      </c>
      <c r="E19" s="10" t="inlineStr">
        <is>
          <t>Not Run</t>
        </is>
      </c>
      <c r="F19" s="10" t="inlineStr">
        <is>
          <t>Not Run</t>
        </is>
      </c>
      <c r="G19" s="10" t="inlineStr">
        <is>
          <t>Skipped</t>
        </is>
      </c>
      <c r="H19" s="10" t="inlineStr">
        <is>
          <t>Not Run</t>
        </is>
      </c>
      <c r="I19" s="10" t="inlineStr">
        <is>
          <t>Not Run</t>
        </is>
      </c>
      <c r="J19" s="10" t="inlineStr">
        <is>
          <t>Not Run</t>
        </is>
      </c>
      <c r="K19" s="10" t="inlineStr">
        <is>
          <t>Pass</t>
        </is>
      </c>
    </row>
    <row r="20" ht="15" customHeight="1">
      <c r="A20" s="8" t="inlineStr">
        <is>
          <t>D-17</t>
        </is>
      </c>
      <c r="B20" s="9" t="inlineStr">
        <is>
          <t>TC-OBS-001-03</t>
        </is>
      </c>
      <c r="C20" s="9" t="inlineStr">
        <is>
          <t>Slack alert webhook responded 200 in last test</t>
        </is>
      </c>
      <c r="D20" s="9" t="inlineStr">
        <is>
          <t>Sync</t>
        </is>
      </c>
      <c r="E20" s="10" t="inlineStr">
        <is>
          <t>Not Run</t>
        </is>
      </c>
      <c r="F20" s="10" t="inlineStr">
        <is>
          <t>Not Run</t>
        </is>
      </c>
      <c r="G20" s="10" t="inlineStr">
        <is>
          <t>Skipped</t>
        </is>
      </c>
      <c r="H20" s="10" t="inlineStr">
        <is>
          <t>Not Run</t>
        </is>
      </c>
      <c r="I20" s="10" t="inlineStr">
        <is>
          <t>Not Run</t>
        </is>
      </c>
      <c r="J20" s="10" t="inlineStr">
        <is>
          <t>Not Run</t>
        </is>
      </c>
      <c r="K20" s="10" t="inlineStr">
        <is>
          <t>Skipped</t>
        </is>
      </c>
    </row>
    <row r="21" ht="15" customHeight="1">
      <c r="A21" s="8" t="inlineStr">
        <is>
          <t>D-18</t>
        </is>
      </c>
      <c r="B21" s="9" t="inlineStr">
        <is>
          <t>TC-EXIT-001-01</t>
        </is>
      </c>
      <c r="C21" s="9" t="inlineStr">
        <is>
          <t>F-PRJ-EXIT status Exit; payout fields populated</t>
        </is>
      </c>
      <c r="D21" s="9" t="inlineStr">
        <is>
          <t>Supabase</t>
        </is>
      </c>
      <c r="E21" s="10" t="inlineStr">
        <is>
          <t>Not Run</t>
        </is>
      </c>
      <c r="F21" s="10" t="inlineStr">
        <is>
          <t>Not Run</t>
        </is>
      </c>
      <c r="G21" s="10" t="inlineStr">
        <is>
          <t>Fail</t>
        </is>
      </c>
      <c r="H21" s="10" t="inlineStr">
        <is>
          <t>Not Run</t>
        </is>
      </c>
      <c r="I21" s="10" t="inlineStr">
        <is>
          <t>Not Run</t>
        </is>
      </c>
      <c r="J21" s="10" t="inlineStr">
        <is>
          <t>Not Run</t>
        </is>
      </c>
      <c r="K21" s="10" t="inlineStr">
        <is>
          <t>Skipped</t>
        </is>
      </c>
    </row>
    <row r="22">
      <c r="A22" s="1" t="n"/>
    </row>
    <row r="23" ht="15" customHeight="1">
      <c r="A23" s="12" t="inlineStr">
        <is>
          <t>Pass / Total</t>
        </is>
      </c>
      <c r="E23" s="13">
        <f>IF(COUNTA(E4:E21)=0,"-",COUNTIF(E4:E21,"Pass")/18)</f>
        <v/>
      </c>
      <c r="F23" s="13">
        <f>IF(COUNTA(F4:F21)=0,"-",COUNTIF(F4:F21,"Pass")/18)</f>
        <v/>
      </c>
      <c r="G23" s="13">
        <f>IF(COUNTA(G4:G21)=0,"-",COUNTIF(G4:G21,"Pass")/18)</f>
        <v/>
      </c>
      <c r="H23" s="13">
        <f>IF(COUNTA(H4:H21)=0,"-",COUNTIF(H4:H21,"Pass")/18)</f>
        <v/>
      </c>
      <c r="I23" s="13">
        <f>IF(COUNTA(I4:I21)=0,"-",COUNTIF(I4:I21,"Pass")/18)</f>
        <v/>
      </c>
      <c r="J23" s="13">
        <f>IF(COUNTA(J4:J21)=0,"-",COUNTIF(J4:J21,"Pass")/18)</f>
        <v/>
      </c>
      <c r="K23" s="13">
        <f>IF(COUNTA(K4:K21)=0,"-",COUNTIF(K4:K21,"Pass")/18)</f>
        <v/>
      </c>
    </row>
  </sheetData>
  <mergeCells count="1">
    <mergeCell ref="A1:H1"/>
  </mergeCells>
  <conditionalFormatting sqref="E4:K21">
    <cfRule type="cellIs" priority="2" operator="equal" dxfId="0">
      <formula>"Pass"</formula>
    </cfRule>
    <cfRule type="cellIs" priority="3" operator="equal" dxfId="1">
      <formula>"Fail"</formula>
    </cfRule>
    <cfRule type="cellIs" priority="4" operator="equal" dxfId="7">
      <formula>"Skipped"</formula>
    </cfRule>
  </conditionalFormatting>
  <dataValidations count="2">
    <dataValidation sqref="E10:K21" showDropDown="0" showInputMessage="0" showErrorMessage="0" allowBlank="1" type="list" errorStyle="stop">
      <formula1>"Not Run,Pass,Fail,Skipped"</formula1>
      <formula2>0</formula2>
    </dataValidation>
    <dataValidation sqref="E4:K21" showDropDown="0" showInputMessage="0" showErrorMessage="0" allowBlank="1" type="list" errorStyle="stop">
      <formula1>"Not Run,Pass,Fail,Skipped"</formula1>
      <formula2>0</formula2>
    </dataValidation>
  </dataValidations>
  <pageMargins left="0.75" right="0.75" top="1" bottom="1" header="0.511811023622047" footer="0.511811023622047"/>
  <pageSetup orientation="portrait" paperSize="9" scale="100" fitToHeight="1" fitToWidth="1" firstPageNumber="1" useFirstPageNumber="1" horizontalDpi="300" verticalDpi="300" copies="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53"/>
  <sheetViews>
    <sheetView view="normal" zoomScale="100" zoomScaleNormal="100" workbookViewId="0">
      <pane ySplit="3" topLeftCell="A4" activePane="bottomLeft" state="frozen"/>
      <selection pane="bottomLeft" activeCell="A1" sqref="A1"/>
    </sheetView>
  </sheetViews>
  <sheetFormatPr baseColWidth="8" defaultColWidth="8.6796875" defaultRowHeight="15" outlineLevelRow="0"/>
  <cols>
    <col width="10" customWidth="1" style="1" min="1" max="1"/>
    <col width="38" customWidth="1" style="1" min="2" max="2"/>
    <col width="16" customWidth="1" style="1" min="3" max="3"/>
    <col width="14" customWidth="1" style="1" min="4" max="4"/>
    <col width="12" customWidth="1" style="1" min="5" max="6"/>
    <col width="10" customWidth="1" style="1" min="7" max="8"/>
    <col width="18" customWidth="1" style="1" min="9" max="9"/>
    <col width="14" customWidth="1" style="1" min="10" max="10"/>
    <col width="12" customWidth="1" style="1" min="11" max="12"/>
    <col width="38" customWidth="1" style="1" min="13" max="13"/>
    <col width="14" customWidth="1" style="1" min="14" max="14"/>
  </cols>
  <sheetData>
    <row r="1" ht="19.5" customHeight="1">
      <c r="A1" s="2" t="inlineStr">
        <is>
          <t>Defect Log</t>
        </is>
      </c>
    </row>
    <row r="2">
      <c r="A2" s="1" t="n"/>
    </row>
    <row r="3" ht="31.5" customHeight="1">
      <c r="A3" s="5" t="inlineStr">
        <is>
          <t>DEF ID</t>
        </is>
      </c>
      <c r="B3" s="5" t="inlineStr">
        <is>
          <t>Title</t>
        </is>
      </c>
      <c r="C3" s="5" t="inlineStr">
        <is>
          <t>Linked TC</t>
        </is>
      </c>
      <c r="D3" s="5" t="inlineStr">
        <is>
          <t>Linked Scenario</t>
        </is>
      </c>
      <c r="E3" s="5" t="inlineStr">
        <is>
          <t>Environment</t>
        </is>
      </c>
      <c r="F3" s="5" t="inlineStr">
        <is>
          <t>Layer</t>
        </is>
      </c>
      <c r="G3" s="5" t="inlineStr">
        <is>
          <t>Severity</t>
        </is>
      </c>
      <c r="H3" s="5" t="inlineStr">
        <is>
          <t>Priority</t>
        </is>
      </c>
      <c r="I3" s="5" t="inlineStr">
        <is>
          <t>Status</t>
        </is>
      </c>
      <c r="J3" s="5" t="inlineStr">
        <is>
          <t>Owner</t>
        </is>
      </c>
      <c r="K3" s="5" t="inlineStr">
        <is>
          <t>Filed on</t>
        </is>
      </c>
      <c r="L3" s="5" t="inlineStr">
        <is>
          <t>Closed on</t>
        </is>
      </c>
      <c r="M3" s="5" t="inlineStr">
        <is>
          <t>Root cause / Fix</t>
        </is>
      </c>
      <c r="N3" s="5" t="inlineStr">
        <is>
          <t>Re-test result</t>
        </is>
      </c>
    </row>
    <row r="4" ht="15" customHeight="1">
      <c r="A4" s="9" t="inlineStr">
        <is>
          <t>DEF-2026-05-07-01</t>
        </is>
      </c>
      <c r="B4" s="9" t="inlineStr">
        <is>
          <t>Schema drift: llps.last_synced_at column missing</t>
        </is>
      </c>
      <c r="C4" s="9" t="inlineStr">
        <is>
          <t>TC-SYNC-001-01 / D-01</t>
        </is>
      </c>
      <c r="D4" s="9" t="inlineStr">
        <is>
          <t>SC-SYNC-001</t>
        </is>
      </c>
      <c r="E4" s="9" t="inlineStr">
        <is>
          <t>Staging (anon REST)</t>
        </is>
      </c>
      <c r="F4" s="9" t="inlineStr">
        <is>
          <t>Supabase</t>
        </is>
      </c>
      <c r="G4" s="9" t="inlineStr">
        <is>
          <t>S2</t>
        </is>
      </c>
      <c r="H4" s="9" t="inlineStr">
        <is>
          <t>P1</t>
        </is>
      </c>
      <c r="I4" s="9" t="inlineStr">
        <is>
          <t>Open</t>
        </is>
      </c>
      <c r="J4" s="9" t="inlineStr">
        <is>
          <t>ARL Tech</t>
        </is>
      </c>
      <c r="K4" s="9" t="inlineStr">
        <is>
          <t>2026-05-07</t>
        </is>
      </c>
      <c r="L4" s="9" t="n"/>
      <c r="M4" s="9" t="n"/>
      <c r="N4" s="9" t="n"/>
    </row>
    <row r="5" ht="15" customHeight="1">
      <c r="A5" s="9" t="inlineStr">
        <is>
          <t>DEF-2026-05-07-02</t>
        </is>
      </c>
      <c r="B5" s="9" t="inlineStr">
        <is>
          <t>investor_units.allocation_status is NULL on all rows</t>
        </is>
      </c>
      <c r="C5" s="9" t="inlineStr">
        <is>
          <t>TC-ALC-001-01 .. TC-ALC-003-01 / D-08..D-12</t>
        </is>
      </c>
      <c r="D5" s="9" t="inlineStr">
        <is>
          <t>SC-ALC-001..005</t>
        </is>
      </c>
      <c r="E5" s="9" t="inlineStr">
        <is>
          <t>Staging (authenticated REST as Sahil Mohite)</t>
        </is>
      </c>
      <c r="F5" s="9" t="inlineStr">
        <is>
          <t>Supabase</t>
        </is>
      </c>
      <c r="G5" s="9" t="inlineStr">
        <is>
          <t>S2</t>
        </is>
      </c>
      <c r="H5" s="9" t="inlineStr">
        <is>
          <t>P0</t>
        </is>
      </c>
      <c r="I5" s="9" t="inlineStr">
        <is>
          <t>Open</t>
        </is>
      </c>
      <c r="J5" s="9" t="inlineStr">
        <is>
          <t>ARL Tech</t>
        </is>
      </c>
      <c r="K5" s="9" t="inlineStr">
        <is>
          <t>2026-05-07</t>
        </is>
      </c>
      <c r="L5" s="9" t="n"/>
      <c r="M5" s="9" t="n"/>
      <c r="N5" s="9" t="n"/>
    </row>
    <row r="6" ht="15" customHeight="1">
      <c r="A6" s="9" t="inlineStr">
        <is>
          <t>DEF-2026-05-07-03</t>
        </is>
      </c>
      <c r="B6" s="9" t="inlineStr">
        <is>
          <t>Zoho CRM -&gt; Supabase sync not propagating: webhook never fires</t>
        </is>
      </c>
      <c r="C6" s="9" t="inlineStr">
        <is>
          <t>TC-LLP-001-04 / TC-SYNC-001-* (manual CRM-&gt;Supabase trace)</t>
        </is>
      </c>
      <c r="D6" s="9" t="inlineStr">
        <is>
          <t>SC-LLP-001 / SC-SYNC-001</t>
        </is>
      </c>
      <c r="E6" s="9" t="inlineStr">
        <is>
          <t>Staging (authenticated REST + edge function probe)</t>
        </is>
      </c>
      <c r="F6" s="9" t="inlineStr">
        <is>
          <t>Sync</t>
        </is>
      </c>
      <c r="G6" s="9" t="inlineStr">
        <is>
          <t>S1</t>
        </is>
      </c>
      <c r="H6" s="9" t="inlineStr">
        <is>
          <t>P0</t>
        </is>
      </c>
      <c r="I6" s="9" t="inlineStr">
        <is>
          <t>Open</t>
        </is>
      </c>
      <c r="J6" s="9" t="inlineStr">
        <is>
          <t>ARL Tech</t>
        </is>
      </c>
      <c r="K6" s="9" t="inlineStr">
        <is>
          <t>2026-05-07</t>
        </is>
      </c>
      <c r="L6" s="9" t="n"/>
      <c r="M6" s="9" t="n"/>
      <c r="N6" s="9" t="n"/>
    </row>
    <row r="7" ht="15" customHeight="1">
      <c r="A7" s="9" t="inlineStr">
        <is>
          <t>DEF-2026-05-11-01</t>
        </is>
      </c>
      <c r="B7" s="9" t="inlineStr">
        <is>
          <t>New LLPs default is_listed_in_marketplace=false → Explore tab never surfaces newly-synced LLPs</t>
        </is>
      </c>
      <c r="C7" s="9" t="inlineStr">
        <is>
          <t>TC-APP-001-06</t>
        </is>
      </c>
      <c r="D7" s="9" t="inlineStr">
        <is>
          <t>SC-APP-001</t>
        </is>
      </c>
      <c r="E7" s="9" t="inlineStr">
        <is>
          <t>Staging</t>
        </is>
      </c>
      <c r="F7" s="9" t="inlineStr">
        <is>
          <t>Supabase + Sync</t>
        </is>
      </c>
      <c r="G7" s="9" t="inlineStr">
        <is>
          <t>S2</t>
        </is>
      </c>
      <c r="H7" s="9" t="inlineStr">
        <is>
          <t>P1</t>
        </is>
      </c>
      <c r="I7" s="9" t="inlineStr">
        <is>
          <t>Resolved</t>
        </is>
      </c>
      <c r="J7" s="9" t="inlineStr">
        <is>
          <t>Claude (Opus 4.7)</t>
        </is>
      </c>
      <c r="K7" s="9" t="inlineStr">
        <is>
          <t>2026-05-11</t>
        </is>
      </c>
      <c r="L7" s="9" t="inlineStr">
        <is>
          <t>Webhook handleProject + reconcileLlps don't set is_listed_in_marketplace; defaults to false/null. Fix: derive from LLP_Status (true when Open for Reservation / Open for Issuance) OR add a CRM field and propagate.
[RESOLVED 2026-05-11]: Backfilled 14 rows via UPDATE projects SET is_listed_in_marketplace=(status IN ('Open for Reservation','Open for Issuance')). Deployed isListedInMarketplace helper in both zoho-crm-webhook + zoho-reconcile-daily handlers. Verified UAT End-to-End LLP now appears in marketplace query (8 listed total). End-to-end fire test returned HTTP 200.</t>
        </is>
      </c>
      <c r="M7" s="9" t="n"/>
      <c r="N7" s="9" t="n"/>
    </row>
    <row r="8" ht="15" customHeight="1">
      <c r="A8" s="9" t="inlineStr">
        <is>
          <t>DEF-2026-05-11-02</t>
        </is>
      </c>
      <c r="B8" s="9" t="inlineStr">
        <is>
          <t>Supabase Auth rejects RFC 6761 .test TLD on inviteUserByEmail</t>
        </is>
      </c>
      <c r="C8" s="9" t="inlineStr">
        <is>
          <t>(N/A — runbook)</t>
        </is>
      </c>
      <c r="D8" s="9" t="inlineStr">
        <is>
          <t>SC-INV-001</t>
        </is>
      </c>
      <c r="E8" s="9" t="inlineStr">
        <is>
          <t>Staging</t>
        </is>
      </c>
      <c r="F8" s="9" t="inlineStr">
        <is>
          <t>Auth</t>
        </is>
      </c>
      <c r="G8" s="9" t="inlineStr">
        <is>
          <t>S3</t>
        </is>
      </c>
      <c r="H8" s="9" t="inlineStr">
        <is>
          <t>P3</t>
        </is>
      </c>
      <c r="I8" s="9" t="inlineStr">
        <is>
          <t>Resolved</t>
        </is>
      </c>
      <c r="J8" s="9" t="inlineStr">
        <is>
          <t>Claude (Opus 4.7)</t>
        </is>
      </c>
      <c r="K8" s="9" t="inlineStr">
        <is>
          <t>2026-05-11</t>
        </is>
      </c>
      <c r="L8" s="9" t="inlineStr">
        <is>
          <t>auth.admin.inviteUserByEmail returned "Email ... is invalid" for an @arl.test address during Workstream 3 Step B. Use real domain (.com/.org) for any onboard tests. Document in onboard-investor README.
[RESOLVED 2026-05-11]: Documented in onboard-investor index.ts header + docs/debug_runbook.md "Common errors" section. Behavioural change unnecessary — Supabase Auth validation is correct; doc warns against .test/.example/.invalid/.localhost TLDs.</t>
        </is>
      </c>
      <c r="M8" s="9" t="n"/>
      <c r="N8" s="9" t="n"/>
    </row>
    <row r="9" ht="15" customHeight="1">
      <c r="A9" s="9" t="inlineStr">
        <is>
          <t>DEF-2026-05-11-03</t>
        </is>
      </c>
      <c r="B9" s="9" t="inlineStr">
        <is>
          <t>Zoho createRecords API does NOT auto-fire workflow rules; webhook missed on programmatic creates</t>
        </is>
      </c>
      <c r="C9" s="9" t="inlineStr">
        <is>
          <t>(N/A — runbook)</t>
        </is>
      </c>
      <c r="D9" s="9" t="inlineStr">
        <is>
          <t>SC-SYNC-001</t>
        </is>
      </c>
      <c r="E9" s="9" t="inlineStr">
        <is>
          <t>Staging</t>
        </is>
      </c>
      <c r="F9" s="9" t="inlineStr">
        <is>
          <t>Zoho</t>
        </is>
      </c>
      <c r="G9" s="9" t="inlineStr">
        <is>
          <t>S2</t>
        </is>
      </c>
      <c r="H9" s="9" t="inlineStr">
        <is>
          <t>P2</t>
        </is>
      </c>
      <c r="I9" s="9" t="inlineStr">
        <is>
          <t>Resolved</t>
        </is>
      </c>
      <c r="J9" s="9" t="inlineStr">
        <is>
          <t>Claude (Opus 4.7)</t>
        </is>
      </c>
      <c r="K9" s="9" t="inlineStr">
        <is>
          <t>2026-05-11</t>
        </is>
      </c>
      <c r="L9" s="9" t="inlineStr">
        <is>
          <t>createRecords without trigger:["workflow"] skips Supabase Sync workflow. Either set trigger in Deluge / API calls, or rely on zoho-reconcile-daily nightly catch-up. Reconcile already handles the gap but adds up-to-24h lag.
[RESOLVED 2026-05-11]: Two-pronged. Programmatic creates should pass trigger:["workflow"] in body. docs/debug_runbook.md "Common errors" describes diagnosis + fix. docs/data_flow_guide.md item 11 codifies reconcile cron as catch-up path (worst-case 24h lag). No code-level callers in repo at fix time — fixture_payloads.json is reference-only.</t>
        </is>
      </c>
      <c r="M9" s="9" t="n"/>
      <c r="N9" s="9" t="n"/>
    </row>
    <row r="10" ht="15" customHeight="1">
      <c r="A10" s="9" t="inlineStr">
        <is>
          <t>DEF-2026-05-11-04</t>
        </is>
      </c>
      <c r="B10" s="9" t="inlineStr">
        <is>
          <t>LLP_UnitAllocation_Module.Name mandatory but Deluge Push_Allocation_To_Supabase does not enforce</t>
        </is>
      </c>
      <c r="C10" s="9" t="inlineStr">
        <is>
          <t>(N/A — runbook)</t>
        </is>
      </c>
      <c r="D10" s="9" t="inlineStr">
        <is>
          <t>SC-ALC-001</t>
        </is>
      </c>
      <c r="E10" s="9" t="inlineStr">
        <is>
          <t>Staging</t>
        </is>
      </c>
      <c r="F10" s="9" t="inlineStr">
        <is>
          <t>Zoho/Deluge</t>
        </is>
      </c>
      <c r="G10" s="9" t="inlineStr">
        <is>
          <t>S3</t>
        </is>
      </c>
      <c r="H10" s="9" t="inlineStr">
        <is>
          <t>P3</t>
        </is>
      </c>
      <c r="I10" s="9" t="inlineStr">
        <is>
          <t>Resolved</t>
        </is>
      </c>
      <c r="J10" s="9" t="inlineStr">
        <is>
          <t>Claude (Opus 4.7)</t>
        </is>
      </c>
      <c r="K10" s="9" t="inlineStr">
        <is>
          <t>2026-05-11</t>
        </is>
      </c>
      <c r="L10" s="9" t="inlineStr">
        <is>
          <t>Step F createRecords failed MANDATORY_NOT_FOUND on Name field. UI creates auto-generate via auto-number; API creates must supply explicitly. Patch Deluge function to set Name from arl_id+investor or similar.
[RESOLVED 2026-05-11]: Documented. docs/debug_runbook.md describes the MANDATORY_NOT_FOUND symptom; docs/data_flow_guide.md item 12 documents Name convention (UAT-&lt;date&gt;-&lt;n&gt; for fixtures, &lt;arl_id&gt;-&lt;short_llp&gt;-&lt;seq&gt; for production). Webhook handler ignores Name; it is purely Zoho display.</t>
        </is>
      </c>
      <c r="M10" s="9" t="n"/>
      <c r="N10" s="9" t="n"/>
    </row>
    <row r="11" ht="15" customHeight="1">
      <c r="A11" s="9" t="inlineStr">
        <is>
          <t>DEF-2026-05-11-05</t>
        </is>
      </c>
      <c r="B11" s="9" t="inlineStr">
        <is>
          <t>investors.zoho_contact_id is nullable + no UNIQUE constraint → duplicate-investor risk</t>
        </is>
      </c>
      <c r="C11" s="9" t="inlineStr">
        <is>
          <t>(N/A — schema)</t>
        </is>
      </c>
      <c r="D11" s="9" t="inlineStr">
        <is>
          <t>SC-INV-001</t>
        </is>
      </c>
      <c r="E11" s="9" t="inlineStr">
        <is>
          <t>Staging</t>
        </is>
      </c>
      <c r="F11" s="9" t="inlineStr">
        <is>
          <t>Supabase schema</t>
        </is>
      </c>
      <c r="G11" s="9" t="inlineStr">
        <is>
          <t>S3</t>
        </is>
      </c>
      <c r="H11" s="9" t="inlineStr">
        <is>
          <t>P3</t>
        </is>
      </c>
      <c r="I11" s="9" t="inlineStr">
        <is>
          <t>Resolved</t>
        </is>
      </c>
      <c r="J11" s="9" t="inlineStr">
        <is>
          <t>Claude (Opus 4.7)</t>
        </is>
      </c>
      <c r="K11" s="9" t="inlineStr">
        <is>
          <t>2026-05-11</t>
        </is>
      </c>
      <c r="L11" s="9" t="inlineStr">
        <is>
          <t>onboard-investor accepts optional zoho_contact_id with no DB uniqueness guarantee. Two onboard calls with same zoho_contact_id but different emails would silently create two investors rows. Migration: ADD CONSTRAINT investors_zoho_contact_id_unique UNIQUE (zoho_contact_id) WHERE zoho_contact_id IS NOT NULL.
[RESOLVED 2026-05-11]: Migration 20260511000000_025_investors_zoho_contact_id_unique.sql applied. Partial UNIQUE index investors_zoho_contact_id_unique blocks duplicate non-NULL zoho_contact_id; multiple NULLs still allowed for manual rows. Verified by attempted duplicate insert → 23505. Pre-existing investors_zoho_contact_id_key full UNIQUE coexists (redundant but harmless). Documented in data_flow_guide.md item 13 + debug_runbook.md "Common errors".</t>
        </is>
      </c>
      <c r="M11" s="9" t="n"/>
      <c r="N11" s="9" t="n"/>
    </row>
    <row r="12" ht="15" customHeight="1">
      <c r="A12" s="9" t="n"/>
      <c r="B12" s="9" t="n"/>
      <c r="C12" s="9" t="n"/>
      <c r="D12" s="9" t="n"/>
      <c r="E12" s="9" t="n"/>
      <c r="F12" s="9" t="n"/>
      <c r="G12" s="9" t="n"/>
      <c r="H12" s="9" t="n"/>
      <c r="I12" s="9" t="n"/>
      <c r="J12" s="9" t="n"/>
      <c r="K12" s="9" t="n"/>
      <c r="L12" s="9" t="n"/>
      <c r="M12" s="9" t="n"/>
      <c r="N12" s="9" t="n"/>
    </row>
    <row r="13" ht="15" customHeight="1">
      <c r="A13" s="9" t="n"/>
      <c r="B13" s="9" t="n"/>
      <c r="C13" s="9" t="n"/>
      <c r="D13" s="9" t="n"/>
      <c r="E13" s="9" t="n"/>
      <c r="F13" s="9" t="n"/>
      <c r="G13" s="9" t="n"/>
      <c r="H13" s="9" t="n"/>
      <c r="I13" s="9" t="n"/>
      <c r="J13" s="9" t="n"/>
      <c r="K13" s="9" t="n"/>
      <c r="L13" s="9" t="n"/>
      <c r="M13" s="9" t="n"/>
      <c r="N13" s="9" t="n"/>
    </row>
    <row r="14" ht="15" customHeight="1">
      <c r="A14" s="9" t="n"/>
      <c r="B14" s="9" t="n"/>
      <c r="C14" s="9" t="n"/>
      <c r="D14" s="9" t="n"/>
      <c r="E14" s="9" t="n"/>
      <c r="F14" s="9" t="n"/>
      <c r="G14" s="9" t="n"/>
      <c r="H14" s="9" t="n"/>
      <c r="I14" s="9" t="n"/>
      <c r="J14" s="9" t="n"/>
      <c r="K14" s="9" t="n"/>
      <c r="L14" s="9" t="n"/>
      <c r="M14" s="9" t="n"/>
      <c r="N14" s="9" t="n"/>
    </row>
    <row r="15" ht="15" customHeight="1">
      <c r="A15" s="9" t="n"/>
      <c r="B15" s="9" t="n"/>
      <c r="C15" s="9" t="n"/>
      <c r="D15" s="9" t="n"/>
      <c r="E15" s="9" t="n"/>
      <c r="F15" s="9" t="n"/>
      <c r="G15" s="9" t="n"/>
      <c r="H15" s="9" t="n"/>
      <c r="I15" s="9" t="n"/>
      <c r="J15" s="9" t="n"/>
      <c r="K15" s="9" t="n"/>
      <c r="L15" s="9" t="n"/>
      <c r="M15" s="9" t="n"/>
      <c r="N15" s="9" t="n"/>
    </row>
    <row r="16" ht="15" customHeight="1">
      <c r="A16" s="9" t="n"/>
      <c r="B16" s="9" t="n"/>
      <c r="C16" s="9" t="n"/>
      <c r="D16" s="9" t="n"/>
      <c r="E16" s="9" t="n"/>
      <c r="F16" s="9" t="n"/>
      <c r="G16" s="9" t="n"/>
      <c r="H16" s="9" t="n"/>
      <c r="I16" s="9" t="n"/>
      <c r="J16" s="9" t="n"/>
      <c r="K16" s="9" t="n"/>
      <c r="L16" s="9" t="n"/>
      <c r="M16" s="9" t="n"/>
      <c r="N16" s="9" t="n"/>
    </row>
    <row r="17" ht="15" customHeight="1">
      <c r="A17" s="9" t="n"/>
      <c r="B17" s="9" t="n"/>
      <c r="C17" s="9" t="n"/>
      <c r="D17" s="9" t="n"/>
      <c r="E17" s="9" t="n"/>
      <c r="F17" s="9" t="n"/>
      <c r="G17" s="9" t="n"/>
      <c r="H17" s="9" t="n"/>
      <c r="I17" s="9" t="n"/>
      <c r="J17" s="9" t="n"/>
      <c r="K17" s="9" t="n"/>
      <c r="L17" s="9" t="n"/>
      <c r="M17" s="9" t="n"/>
      <c r="N17" s="9" t="n"/>
    </row>
    <row r="18" ht="15" customHeight="1">
      <c r="A18" s="9" t="n"/>
      <c r="B18" s="9" t="n"/>
      <c r="C18" s="9" t="n"/>
      <c r="D18" s="9" t="n"/>
      <c r="E18" s="9" t="n"/>
      <c r="F18" s="9" t="n"/>
      <c r="G18" s="9" t="n"/>
      <c r="H18" s="9" t="n"/>
      <c r="I18" s="9" t="n"/>
      <c r="J18" s="9" t="n"/>
      <c r="K18" s="9" t="n"/>
      <c r="L18" s="9" t="n"/>
      <c r="M18" s="9" t="n"/>
      <c r="N18" s="9" t="n"/>
    </row>
    <row r="19" ht="15" customHeight="1">
      <c r="A19" s="9" t="n"/>
      <c r="B19" s="9" t="n"/>
      <c r="C19" s="9" t="n"/>
      <c r="D19" s="9" t="n"/>
      <c r="E19" s="9" t="n"/>
      <c r="F19" s="9" t="n"/>
      <c r="G19" s="9" t="n"/>
      <c r="H19" s="9" t="n"/>
      <c r="I19" s="9" t="n"/>
      <c r="J19" s="9" t="n"/>
      <c r="K19" s="9" t="n"/>
      <c r="L19" s="9" t="n"/>
      <c r="M19" s="9" t="n"/>
      <c r="N19" s="9" t="n"/>
    </row>
    <row r="20" ht="15" customHeight="1">
      <c r="A20" s="9" t="n"/>
      <c r="B20" s="9" t="n"/>
      <c r="C20" s="9" t="n"/>
      <c r="D20" s="9" t="n"/>
      <c r="E20" s="9" t="n"/>
      <c r="F20" s="9" t="n"/>
      <c r="G20" s="9" t="n"/>
      <c r="H20" s="9" t="n"/>
      <c r="I20" s="9" t="n"/>
      <c r="J20" s="9" t="n"/>
      <c r="K20" s="9" t="n"/>
      <c r="L20" s="9" t="n"/>
      <c r="M20" s="9" t="n"/>
      <c r="N20" s="9" t="n"/>
    </row>
    <row r="21" ht="15" customHeight="1">
      <c r="A21" s="9" t="n"/>
      <c r="B21" s="9" t="n"/>
      <c r="C21" s="9" t="n"/>
      <c r="D21" s="9" t="n"/>
      <c r="E21" s="9" t="n"/>
      <c r="F21" s="9" t="n"/>
      <c r="G21" s="9" t="n"/>
      <c r="H21" s="9" t="n"/>
      <c r="I21" s="9" t="n"/>
      <c r="J21" s="9" t="n"/>
      <c r="K21" s="9" t="n"/>
      <c r="L21" s="9" t="n"/>
      <c r="M21" s="9" t="n"/>
      <c r="N21" s="9" t="n"/>
    </row>
    <row r="22" ht="15" customHeight="1">
      <c r="A22" s="9" t="n"/>
      <c r="B22" s="9" t="n"/>
      <c r="C22" s="9" t="n"/>
      <c r="D22" s="9" t="n"/>
      <c r="E22" s="9" t="n"/>
      <c r="F22" s="9" t="n"/>
      <c r="G22" s="9" t="n"/>
      <c r="H22" s="9" t="n"/>
      <c r="I22" s="9" t="n"/>
      <c r="J22" s="9" t="n"/>
      <c r="K22" s="9" t="n"/>
      <c r="L22" s="9" t="n"/>
      <c r="M22" s="9" t="n"/>
      <c r="N22" s="9" t="n"/>
    </row>
    <row r="23" ht="15" customHeight="1">
      <c r="A23" s="9" t="n"/>
      <c r="B23" s="9" t="n"/>
      <c r="C23" s="9" t="n"/>
      <c r="D23" s="9" t="n"/>
      <c r="E23" s="9" t="n"/>
      <c r="F23" s="9" t="n"/>
      <c r="G23" s="9" t="n"/>
      <c r="H23" s="9" t="n"/>
      <c r="I23" s="9" t="n"/>
      <c r="J23" s="9" t="n"/>
      <c r="K23" s="9" t="n"/>
      <c r="L23" s="9" t="n"/>
      <c r="M23" s="9" t="n"/>
      <c r="N23" s="9" t="n"/>
    </row>
    <row r="24" ht="15" customHeight="1">
      <c r="A24" s="9" t="n"/>
      <c r="B24" s="9" t="n"/>
      <c r="C24" s="9" t="n"/>
      <c r="D24" s="9" t="n"/>
      <c r="E24" s="9" t="n"/>
      <c r="F24" s="9" t="n"/>
      <c r="G24" s="9" t="n"/>
      <c r="H24" s="9" t="n"/>
      <c r="I24" s="9" t="n"/>
      <c r="J24" s="9" t="n"/>
      <c r="K24" s="9" t="n"/>
      <c r="L24" s="9" t="n"/>
      <c r="M24" s="9" t="n"/>
      <c r="N24" s="9" t="n"/>
    </row>
    <row r="25" ht="15" customHeight="1">
      <c r="A25" s="9" t="n"/>
      <c r="B25" s="9" t="n"/>
      <c r="C25" s="9" t="n"/>
      <c r="D25" s="9" t="n"/>
      <c r="E25" s="9" t="n"/>
      <c r="F25" s="9" t="n"/>
      <c r="G25" s="9" t="n"/>
      <c r="H25" s="9" t="n"/>
      <c r="I25" s="9" t="n"/>
      <c r="J25" s="9" t="n"/>
      <c r="K25" s="9" t="n"/>
      <c r="L25" s="9" t="n"/>
      <c r="M25" s="9" t="n"/>
      <c r="N25" s="9" t="n"/>
    </row>
    <row r="26" ht="15" customHeight="1">
      <c r="A26" s="9" t="n"/>
      <c r="B26" s="9" t="n"/>
      <c r="C26" s="9" t="n"/>
      <c r="D26" s="9" t="n"/>
      <c r="E26" s="9" t="n"/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</row>
    <row r="27" ht="15" customHeight="1">
      <c r="A27" s="9" t="n"/>
      <c r="B27" s="9" t="n"/>
      <c r="C27" s="9" t="n"/>
      <c r="D27" s="9" t="n"/>
      <c r="E27" s="9" t="n"/>
      <c r="F27" s="9" t="n"/>
      <c r="G27" s="9" t="n"/>
      <c r="H27" s="9" t="n"/>
      <c r="I27" s="9" t="n"/>
      <c r="J27" s="9" t="n"/>
      <c r="K27" s="9" t="n"/>
      <c r="L27" s="9" t="n"/>
      <c r="M27" s="9" t="n"/>
      <c r="N27" s="9" t="n"/>
    </row>
    <row r="28" ht="15" customHeight="1">
      <c r="A28" s="9" t="n"/>
      <c r="B28" s="9" t="n"/>
      <c r="C28" s="9" t="n"/>
      <c r="D28" s="9" t="n"/>
      <c r="E28" s="9" t="n"/>
      <c r="F28" s="9" t="n"/>
      <c r="G28" s="9" t="n"/>
      <c r="H28" s="9" t="n"/>
      <c r="I28" s="9" t="n"/>
      <c r="J28" s="9" t="n"/>
      <c r="K28" s="9" t="n"/>
      <c r="L28" s="9" t="n"/>
      <c r="M28" s="9" t="n"/>
      <c r="N28" s="9" t="n"/>
    </row>
    <row r="29" ht="15" customHeight="1">
      <c r="A29" s="9" t="n"/>
      <c r="B29" s="9" t="n"/>
      <c r="C29" s="9" t="n"/>
      <c r="D29" s="9" t="n"/>
      <c r="E29" s="9" t="n"/>
      <c r="F29" s="9" t="n"/>
      <c r="G29" s="9" t="n"/>
      <c r="H29" s="9" t="n"/>
      <c r="I29" s="9" t="n"/>
      <c r="J29" s="9" t="n"/>
      <c r="K29" s="9" t="n"/>
      <c r="L29" s="9" t="n"/>
      <c r="M29" s="9" t="n"/>
      <c r="N29" s="9" t="n"/>
    </row>
    <row r="30" ht="15" customHeight="1">
      <c r="A30" s="9" t="n"/>
      <c r="B30" s="9" t="n"/>
      <c r="C30" s="9" t="n"/>
      <c r="D30" s="9" t="n"/>
      <c r="E30" s="9" t="n"/>
      <c r="F30" s="9" t="n"/>
      <c r="G30" s="9" t="n"/>
      <c r="H30" s="9" t="n"/>
      <c r="I30" s="9" t="n"/>
      <c r="J30" s="9" t="n"/>
      <c r="K30" s="9" t="n"/>
      <c r="L30" s="9" t="n"/>
      <c r="M30" s="9" t="n"/>
      <c r="N30" s="9" t="n"/>
    </row>
    <row r="31" ht="15" customHeight="1">
      <c r="A31" s="9" t="n"/>
      <c r="B31" s="9" t="n"/>
      <c r="C31" s="9" t="n"/>
      <c r="D31" s="9" t="n"/>
      <c r="E31" s="9" t="n"/>
      <c r="F31" s="9" t="n"/>
      <c r="G31" s="9" t="n"/>
      <c r="H31" s="9" t="n"/>
      <c r="I31" s="9" t="n"/>
      <c r="J31" s="9" t="n"/>
      <c r="K31" s="9" t="n"/>
      <c r="L31" s="9" t="n"/>
      <c r="M31" s="9" t="n"/>
      <c r="N31" s="9" t="n"/>
    </row>
    <row r="32" ht="15" customHeight="1">
      <c r="A32" s="9" t="n"/>
      <c r="B32" s="9" t="n"/>
      <c r="C32" s="9" t="n"/>
      <c r="D32" s="9" t="n"/>
      <c r="E32" s="9" t="n"/>
      <c r="F32" s="9" t="n"/>
      <c r="G32" s="9" t="n"/>
      <c r="H32" s="9" t="n"/>
      <c r="I32" s="9" t="n"/>
      <c r="J32" s="9" t="n"/>
      <c r="K32" s="9" t="n"/>
      <c r="L32" s="9" t="n"/>
      <c r="M32" s="9" t="n"/>
      <c r="N32" s="9" t="n"/>
    </row>
    <row r="33" ht="15" customHeight="1">
      <c r="A33" s="9" t="n"/>
      <c r="B33" s="9" t="n"/>
      <c r="C33" s="9" t="n"/>
      <c r="D33" s="9" t="n"/>
      <c r="E33" s="9" t="n"/>
      <c r="F33" s="9" t="n"/>
      <c r="G33" s="9" t="n"/>
      <c r="H33" s="9" t="n"/>
      <c r="I33" s="9" t="n"/>
      <c r="J33" s="9" t="n"/>
      <c r="K33" s="9" t="n"/>
      <c r="L33" s="9" t="n"/>
      <c r="M33" s="9" t="n"/>
      <c r="N33" s="9" t="n"/>
    </row>
    <row r="34" ht="15" customHeight="1">
      <c r="A34" s="9" t="n"/>
      <c r="B34" s="9" t="n"/>
      <c r="C34" s="9" t="n"/>
      <c r="D34" s="9" t="n"/>
      <c r="E34" s="9" t="n"/>
      <c r="F34" s="9" t="n"/>
      <c r="G34" s="9" t="n"/>
      <c r="H34" s="9" t="n"/>
      <c r="I34" s="9" t="n"/>
      <c r="J34" s="9" t="n"/>
      <c r="K34" s="9" t="n"/>
      <c r="L34" s="9" t="n"/>
      <c r="M34" s="9" t="n"/>
      <c r="N34" s="9" t="n"/>
    </row>
    <row r="35" ht="15" customHeight="1">
      <c r="A35" s="9" t="n"/>
      <c r="B35" s="9" t="n"/>
      <c r="C35" s="9" t="n"/>
      <c r="D35" s="9" t="n"/>
      <c r="E35" s="9" t="n"/>
      <c r="F35" s="9" t="n"/>
      <c r="G35" s="9" t="n"/>
      <c r="H35" s="9" t="n"/>
      <c r="I35" s="9" t="n"/>
      <c r="J35" s="9" t="n"/>
      <c r="K35" s="9" t="n"/>
      <c r="L35" s="9" t="n"/>
      <c r="M35" s="9" t="n"/>
      <c r="N35" s="9" t="n"/>
    </row>
    <row r="36" ht="15" customHeight="1">
      <c r="A36" s="9" t="n"/>
      <c r="B36" s="9" t="n"/>
      <c r="C36" s="9" t="n"/>
      <c r="D36" s="9" t="n"/>
      <c r="E36" s="9" t="n"/>
      <c r="F36" s="9" t="n"/>
      <c r="G36" s="9" t="n"/>
      <c r="H36" s="9" t="n"/>
      <c r="I36" s="9" t="n"/>
      <c r="J36" s="9" t="n"/>
      <c r="K36" s="9" t="n"/>
      <c r="L36" s="9" t="n"/>
      <c r="M36" s="9" t="n"/>
      <c r="N36" s="9" t="n"/>
    </row>
    <row r="37" ht="15" customHeight="1">
      <c r="A37" s="9" t="n"/>
      <c r="B37" s="9" t="n"/>
      <c r="C37" s="9" t="n"/>
      <c r="D37" s="9" t="n"/>
      <c r="E37" s="9" t="n"/>
      <c r="F37" s="9" t="n"/>
      <c r="G37" s="9" t="n"/>
      <c r="H37" s="9" t="n"/>
      <c r="I37" s="9" t="n"/>
      <c r="J37" s="9" t="n"/>
      <c r="K37" s="9" t="n"/>
      <c r="L37" s="9" t="n"/>
      <c r="M37" s="9" t="n"/>
      <c r="N37" s="9" t="n"/>
    </row>
    <row r="38" ht="15" customHeight="1">
      <c r="A38" s="9" t="n"/>
      <c r="B38" s="9" t="n"/>
      <c r="C38" s="9" t="n"/>
      <c r="D38" s="9" t="n"/>
      <c r="E38" s="9" t="n"/>
      <c r="F38" s="9" t="n"/>
      <c r="G38" s="9" t="n"/>
      <c r="H38" s="9" t="n"/>
      <c r="I38" s="9" t="n"/>
      <c r="J38" s="9" t="n"/>
      <c r="K38" s="9" t="n"/>
      <c r="L38" s="9" t="n"/>
      <c r="M38" s="9" t="n"/>
      <c r="N38" s="9" t="n"/>
    </row>
    <row r="39" ht="15" customHeight="1">
      <c r="A39" s="9" t="n"/>
      <c r="B39" s="9" t="n"/>
      <c r="C39" s="9" t="n"/>
      <c r="D39" s="9" t="n"/>
      <c r="E39" s="9" t="n"/>
      <c r="F39" s="9" t="n"/>
      <c r="G39" s="9" t="n"/>
      <c r="H39" s="9" t="n"/>
      <c r="I39" s="9" t="n"/>
      <c r="J39" s="9" t="n"/>
      <c r="K39" s="9" t="n"/>
      <c r="L39" s="9" t="n"/>
      <c r="M39" s="9" t="n"/>
      <c r="N39" s="9" t="n"/>
    </row>
    <row r="40" ht="15" customHeight="1">
      <c r="A40" s="9" t="n"/>
      <c r="B40" s="9" t="n"/>
      <c r="C40" s="9" t="n"/>
      <c r="D40" s="9" t="n"/>
      <c r="E40" s="9" t="n"/>
      <c r="F40" s="9" t="n"/>
      <c r="G40" s="9" t="n"/>
      <c r="H40" s="9" t="n"/>
      <c r="I40" s="9" t="n"/>
      <c r="J40" s="9" t="n"/>
      <c r="K40" s="9" t="n"/>
      <c r="L40" s="9" t="n"/>
      <c r="M40" s="9" t="n"/>
      <c r="N40" s="9" t="n"/>
    </row>
    <row r="41" ht="15" customHeight="1">
      <c r="A41" s="9" t="n"/>
      <c r="B41" s="9" t="n"/>
      <c r="C41" s="9" t="n"/>
      <c r="D41" s="9" t="n"/>
      <c r="E41" s="9" t="n"/>
      <c r="F41" s="9" t="n"/>
      <c r="G41" s="9" t="n"/>
      <c r="H41" s="9" t="n"/>
      <c r="I41" s="9" t="n"/>
      <c r="J41" s="9" t="n"/>
      <c r="K41" s="9" t="n"/>
      <c r="L41" s="9" t="n"/>
      <c r="M41" s="9" t="n"/>
      <c r="N41" s="9" t="n"/>
    </row>
    <row r="42" ht="15" customHeight="1">
      <c r="A42" s="9" t="n"/>
      <c r="B42" s="9" t="n"/>
      <c r="C42" s="9" t="n"/>
      <c r="D42" s="9" t="n"/>
      <c r="E42" s="9" t="n"/>
      <c r="F42" s="9" t="n"/>
      <c r="G42" s="9" t="n"/>
      <c r="H42" s="9" t="n"/>
      <c r="I42" s="9" t="n"/>
      <c r="J42" s="9" t="n"/>
      <c r="K42" s="9" t="n"/>
      <c r="L42" s="9" t="n"/>
      <c r="M42" s="9" t="n"/>
      <c r="N42" s="9" t="n"/>
    </row>
    <row r="43" ht="15" customHeight="1">
      <c r="A43" s="9" t="n"/>
      <c r="B43" s="9" t="n"/>
      <c r="C43" s="9" t="n"/>
      <c r="D43" s="9" t="n"/>
      <c r="E43" s="9" t="n"/>
      <c r="F43" s="9" t="n"/>
      <c r="G43" s="9" t="n"/>
      <c r="H43" s="9" t="n"/>
      <c r="I43" s="9" t="n"/>
      <c r="J43" s="9" t="n"/>
      <c r="K43" s="9" t="n"/>
      <c r="L43" s="9" t="n"/>
      <c r="M43" s="9" t="n"/>
      <c r="N43" s="9" t="n"/>
    </row>
    <row r="44" ht="15" customHeight="1">
      <c r="A44" s="9" t="n"/>
      <c r="B44" s="9" t="n"/>
      <c r="C44" s="9" t="n"/>
      <c r="D44" s="9" t="n"/>
      <c r="E44" s="9" t="n"/>
      <c r="F44" s="9" t="n"/>
      <c r="G44" s="9" t="n"/>
      <c r="H44" s="9" t="n"/>
      <c r="I44" s="9" t="n"/>
      <c r="J44" s="9" t="n"/>
      <c r="K44" s="9" t="n"/>
      <c r="L44" s="9" t="n"/>
      <c r="M44" s="9" t="n"/>
      <c r="N44" s="9" t="n"/>
    </row>
    <row r="45" ht="15" customHeight="1">
      <c r="A45" s="9" t="n"/>
      <c r="B45" s="9" t="n"/>
      <c r="C45" s="9" t="n"/>
      <c r="D45" s="9" t="n"/>
      <c r="E45" s="9" t="n"/>
      <c r="F45" s="9" t="n"/>
      <c r="G45" s="9" t="n"/>
      <c r="H45" s="9" t="n"/>
      <c r="I45" s="9" t="n"/>
      <c r="J45" s="9" t="n"/>
      <c r="K45" s="9" t="n"/>
      <c r="L45" s="9" t="n"/>
      <c r="M45" s="9" t="n"/>
      <c r="N45" s="9" t="n"/>
    </row>
    <row r="46" ht="15" customHeight="1">
      <c r="A46" s="9" t="n"/>
      <c r="B46" s="9" t="n"/>
      <c r="C46" s="9" t="n"/>
      <c r="D46" s="9" t="n"/>
      <c r="E46" s="9" t="n"/>
      <c r="F46" s="9" t="n"/>
      <c r="G46" s="9" t="n"/>
      <c r="H46" s="9" t="n"/>
      <c r="I46" s="9" t="n"/>
      <c r="J46" s="9" t="n"/>
      <c r="K46" s="9" t="n"/>
      <c r="L46" s="9" t="n"/>
      <c r="M46" s="9" t="n"/>
      <c r="N46" s="9" t="n"/>
    </row>
    <row r="47" ht="15" customHeight="1">
      <c r="A47" s="9" t="n"/>
      <c r="B47" s="9" t="n"/>
      <c r="C47" s="9" t="n"/>
      <c r="D47" s="9" t="n"/>
      <c r="E47" s="9" t="n"/>
      <c r="F47" s="9" t="n"/>
      <c r="G47" s="9" t="n"/>
      <c r="H47" s="9" t="n"/>
      <c r="I47" s="9" t="n"/>
      <c r="J47" s="9" t="n"/>
      <c r="K47" s="9" t="n"/>
      <c r="L47" s="9" t="n"/>
      <c r="M47" s="9" t="n"/>
      <c r="N47" s="9" t="n"/>
    </row>
    <row r="48" ht="15" customHeight="1">
      <c r="A48" s="9" t="n"/>
      <c r="B48" s="9" t="n"/>
      <c r="C48" s="9" t="n"/>
      <c r="D48" s="9" t="n"/>
      <c r="E48" s="9" t="n"/>
      <c r="F48" s="9" t="n"/>
      <c r="G48" s="9" t="n"/>
      <c r="H48" s="9" t="n"/>
      <c r="I48" s="9" t="n"/>
      <c r="J48" s="9" t="n"/>
      <c r="K48" s="9" t="n"/>
      <c r="L48" s="9" t="n"/>
      <c r="M48" s="9" t="n"/>
      <c r="N48" s="9" t="n"/>
    </row>
    <row r="49" ht="15" customHeight="1">
      <c r="A49" s="9" t="n"/>
      <c r="B49" s="9" t="n"/>
      <c r="C49" s="9" t="n"/>
      <c r="D49" s="9" t="n"/>
      <c r="E49" s="9" t="n"/>
      <c r="F49" s="9" t="n"/>
      <c r="G49" s="9" t="n"/>
      <c r="H49" s="9" t="n"/>
      <c r="I49" s="9" t="n"/>
      <c r="J49" s="9" t="n"/>
      <c r="K49" s="9" t="n"/>
      <c r="L49" s="9" t="n"/>
      <c r="M49" s="9" t="n"/>
      <c r="N49" s="9" t="n"/>
    </row>
    <row r="50" ht="15" customHeight="1">
      <c r="A50" s="9" t="n"/>
      <c r="B50" s="9" t="n"/>
      <c r="C50" s="9" t="n"/>
      <c r="D50" s="9" t="n"/>
      <c r="E50" s="9" t="n"/>
      <c r="F50" s="9" t="n"/>
      <c r="G50" s="9" t="n"/>
      <c r="H50" s="9" t="n"/>
      <c r="I50" s="9" t="n"/>
      <c r="J50" s="9" t="n"/>
      <c r="K50" s="9" t="n"/>
      <c r="L50" s="9" t="n"/>
      <c r="M50" s="9" t="n"/>
      <c r="N50" s="9" t="n"/>
    </row>
    <row r="51" ht="15" customHeight="1">
      <c r="A51" s="9" t="n"/>
      <c r="B51" s="9" t="n"/>
      <c r="C51" s="9" t="n"/>
      <c r="D51" s="9" t="n"/>
      <c r="E51" s="9" t="n"/>
      <c r="F51" s="9" t="n"/>
      <c r="G51" s="9" t="n"/>
      <c r="H51" s="9" t="n"/>
      <c r="I51" s="9" t="n"/>
      <c r="J51" s="9" t="n"/>
      <c r="K51" s="9" t="n"/>
      <c r="L51" s="9" t="n"/>
      <c r="M51" s="9" t="n"/>
      <c r="N51" s="9" t="n"/>
    </row>
    <row r="52" ht="15" customHeight="1">
      <c r="A52" s="9" t="n"/>
      <c r="B52" s="9" t="n"/>
      <c r="C52" s="9" t="n"/>
      <c r="D52" s="9" t="n"/>
      <c r="E52" s="9" t="n"/>
      <c r="F52" s="9" t="n"/>
      <c r="G52" s="9" t="n"/>
      <c r="H52" s="9" t="n"/>
      <c r="I52" s="9" t="n"/>
      <c r="J52" s="9" t="n"/>
      <c r="K52" s="9" t="n"/>
      <c r="L52" s="9" t="n"/>
      <c r="M52" s="9" t="n"/>
      <c r="N52" s="9" t="n"/>
    </row>
    <row r="53" ht="15" customHeight="1">
      <c r="A53" s="9" t="n"/>
      <c r="B53" s="9" t="n"/>
      <c r="C53" s="9" t="n"/>
      <c r="D53" s="9" t="n"/>
      <c r="E53" s="9" t="n"/>
      <c r="F53" s="9" t="n"/>
      <c r="G53" s="9" t="n"/>
      <c r="H53" s="9" t="n"/>
      <c r="I53" s="9" t="n"/>
      <c r="J53" s="9" t="n"/>
      <c r="K53" s="9" t="n"/>
      <c r="L53" s="9" t="n"/>
      <c r="M53" s="9" t="n"/>
      <c r="N53" s="9" t="n"/>
    </row>
  </sheetData>
  <mergeCells count="1">
    <mergeCell ref="A1:N1"/>
  </mergeCells>
  <conditionalFormatting sqref="G4:G53">
    <cfRule type="cellIs" priority="2" operator="equal" dxfId="12">
      <formula>"S1"</formula>
    </cfRule>
    <cfRule type="cellIs" priority="3" operator="equal" dxfId="13">
      <formula>"S2"</formula>
    </cfRule>
  </conditionalFormatting>
  <conditionalFormatting sqref="I4:I53">
    <cfRule type="cellIs" priority="4" operator="equal" dxfId="1">
      <formula>"Open"</formula>
    </cfRule>
    <cfRule type="cellIs" priority="5" operator="equal" dxfId="0">
      <formula>"Closed-Pass"</formula>
    </cfRule>
    <cfRule type="cellIs" priority="6" operator="equal" dxfId="6">
      <formula>"In Progress"</formula>
    </cfRule>
  </conditionalFormatting>
  <dataValidations count="12">
    <dataValidation sqref="E10:E53" showDropDown="0" showInputMessage="0" showErrorMessage="0" allowBlank="1" type="list" errorStyle="stop">
      <formula1>"Dev,Staging,Prod"</formula1>
      <formula2>0</formula2>
    </dataValidation>
    <dataValidation sqref="E4:E53" showDropDown="0" showInputMessage="0" showErrorMessage="0" allowBlank="1" type="list" errorStyle="stop">
      <formula1>"Dev,Staging,Prod"</formula1>
      <formula2>0</formula2>
    </dataValidation>
    <dataValidation sqref="F10:F53" showDropDown="0" showInputMessage="0" showErrorMessage="0" allowBlank="1" type="list" errorStyle="stop">
      <formula1>"Sync,Supabase,App,Auth,RLS,App / RLS,Mixed"</formula1>
      <formula2>0</formula2>
    </dataValidation>
    <dataValidation sqref="F4:F53" showDropDown="0" showInputMessage="0" showErrorMessage="0" allowBlank="1" type="list" errorStyle="stop">
      <formula1>"Sync,Supabase,App,Auth,RLS,App / RLS,Mixed"</formula1>
      <formula2>0</formula2>
    </dataValidation>
    <dataValidation sqref="G10:G53" showDropDown="0" showInputMessage="0" showErrorMessage="0" allowBlank="1" type="list" errorStyle="stop">
      <formula1>"S1,S2,S3,S4"</formula1>
      <formula2>0</formula2>
    </dataValidation>
    <dataValidation sqref="G4:G53" showDropDown="0" showInputMessage="0" showErrorMessage="0" allowBlank="1" type="list" errorStyle="stop">
      <formula1>"S1,S2,S3,S4"</formula1>
      <formula2>0</formula2>
    </dataValidation>
    <dataValidation sqref="H10:H53" showDropDown="0" showInputMessage="0" showErrorMessage="0" allowBlank="1" type="list" errorStyle="stop">
      <formula1>"P0,P1,P2,P3"</formula1>
      <formula2>0</formula2>
    </dataValidation>
    <dataValidation sqref="H4:H53" showDropDown="0" showInputMessage="0" showErrorMessage="0" allowBlank="1" type="list" errorStyle="stop">
      <formula1>"P0,P1,P2,P3"</formula1>
      <formula2>0</formula2>
    </dataValidation>
    <dataValidation sqref="I10:I53" showDropDown="0" showInputMessage="0" showErrorMessage="0" allowBlank="1" type="list" errorStyle="stop">
      <formula1>"Open,Triaged,In Progress,Ready to Re-test,Closed-Pass,Closed-Wont Fix,Closed-Duplicate"</formula1>
      <formula2>0</formula2>
    </dataValidation>
    <dataValidation sqref="I4:I53" showDropDown="0" showInputMessage="0" showErrorMessage="0" allowBlank="1" type="list" errorStyle="stop">
      <formula1>"Open,Triaged,In Progress,Ready to Re-test,Closed-Pass,Closed-Wont Fix,Closed-Duplicate"</formula1>
      <formula2>0</formula2>
    </dataValidation>
    <dataValidation sqref="N10:N53" showDropDown="0" showInputMessage="0" showErrorMessage="0" allowBlank="1" type="list" errorStyle="stop">
      <formula1>"Not Re-tested,Pass,Fail-again"</formula1>
      <formula2>0</formula2>
    </dataValidation>
    <dataValidation sqref="N4:N53" showDropDown="0" showInputMessage="0" showErrorMessage="0" allowBlank="1" type="list" errorStyle="stop">
      <formula1>"Not Re-tested,Pass,Fail-again"</formula1>
      <formula2>0</formula2>
    </dataValidation>
  </dataValidations>
  <pageMargins left="0.75" right="0.75" top="1" bottom="1" header="0.511811023622047" footer="0.511811023622047"/>
  <pageSetup orientation="portrait" paperSize="9" scale="100" fitToHeight="1" fitToWidth="1" firstPageNumber="1" useFirstPageNumber="1" horizontalDpi="300" verticalDpi="300" copies="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0"/>
  <sheetViews>
    <sheetView view="normal" zoomScale="100" zoomScaleNormal="100" workbookViewId="0">
      <selection activeCell="A1" sqref="A1"/>
    </sheetView>
  </sheetViews>
  <sheetFormatPr baseColWidth="8" defaultColWidth="8.6796875" defaultRowHeight="15" outlineLevelRow="0"/>
  <cols>
    <col width="42" customWidth="1" style="1" min="1" max="1"/>
    <col width="16" customWidth="1" style="1" min="2" max="2"/>
    <col width="14" customWidth="1" style="1" min="3" max="3"/>
    <col width="10" customWidth="1" style="1" min="4" max="4"/>
  </cols>
  <sheetData>
    <row r="1" ht="19.5" customHeight="1">
      <c r="A1" s="2" t="inlineStr">
        <is>
          <t>Test Cycle Sign-off</t>
        </is>
      </c>
    </row>
    <row r="2">
      <c r="A2" s="1" t="inlineStr">
        <is>
          <t>2026-05-11</t>
        </is>
      </c>
      <c r="B2" s="1" t="inlineStr">
        <is>
          <t>Claude (Opus 4.7)</t>
        </is>
      </c>
      <c r="C2" s="1" t="inlineStr">
        <is>
          <t>Sync pipeline fully operational. End-to-end workstream covered Contacts/LLP/Allocation push + reconcile cron + audit. 8/1/2 (Pass/Fail/Skip) on UI cases (UAT-by-data). 5 new defects logged. Visual parity not re-verified this run.</t>
        </is>
      </c>
    </row>
    <row r="3" ht="15" customHeight="1">
      <c r="A3" s="1" t="inlineStr">
        <is>
          <t>Cycle</t>
        </is>
      </c>
      <c r="B3" s="1" t="inlineStr">
        <is>
          <t>Pre-launch 2026-05-05</t>
        </is>
      </c>
    </row>
    <row r="4" ht="15" customHeight="1">
      <c r="A4" s="1" t="inlineStr">
        <is>
          <t>Build / commit</t>
        </is>
      </c>
      <c r="B4" s="1" t="inlineStr">
        <is>
          <t>&lt;fill in&gt;</t>
        </is>
      </c>
    </row>
    <row r="5" ht="15" customHeight="1">
      <c r="A5" s="1" t="inlineStr">
        <is>
          <t>Test window</t>
        </is>
      </c>
      <c r="B5" s="1" t="inlineStr">
        <is>
          <t>&lt;start&gt; to &lt;end&gt;</t>
        </is>
      </c>
    </row>
    <row r="7" ht="15" customHeight="1">
      <c r="A7" s="4" t="inlineStr">
        <is>
          <t>Exit criteria</t>
        </is>
      </c>
    </row>
    <row r="8" ht="15" customHeight="1">
      <c r="A8" s="5" t="inlineStr">
        <is>
          <t>Criterion</t>
        </is>
      </c>
      <c r="B8" s="5" t="inlineStr">
        <is>
          <t>Current</t>
        </is>
      </c>
      <c r="C8" s="5" t="inlineStr">
        <is>
          <t>Target</t>
        </is>
      </c>
      <c r="D8" s="5" t="inlineStr">
        <is>
          <t>Met?</t>
        </is>
      </c>
    </row>
    <row r="9" ht="15" customHeight="1">
      <c r="A9" s="6" t="inlineStr">
        <is>
          <t>100% of P0 cases passed</t>
        </is>
      </c>
      <c r="B9" s="6">
        <f>COUNTIFS('Test Cases'!H4:H1000,"P0",'Test Cases'!J4:J1000,"Pass")</f>
        <v/>
      </c>
      <c r="C9" s="6">
        <f>COUNTIF('Test Cases'!H4:H1000,"P0")</f>
        <v/>
      </c>
      <c r="D9" s="6">
        <f>IF(B9&gt;=C9,"YES","NO")</f>
        <v/>
      </c>
    </row>
    <row r="10" ht="15" customHeight="1">
      <c r="A10" s="6" t="inlineStr">
        <is>
          <t>100% of P1 cases passed</t>
        </is>
      </c>
      <c r="B10" s="6">
        <f>COUNTIFS('Test Cases'!H4:H1000,"P1",'Test Cases'!J4:J1000,"Pass")</f>
        <v/>
      </c>
      <c r="C10" s="6">
        <f>COUNTIF('Test Cases'!H4:H1000,"P1")</f>
        <v/>
      </c>
      <c r="D10" s="6">
        <f>IF(B10&gt;=C10,"YES","NO")</f>
        <v/>
      </c>
    </row>
    <row r="11" ht="15" customHeight="1">
      <c r="A11" s="6" t="inlineStr">
        <is>
          <t>Zero open S1 defects</t>
        </is>
      </c>
      <c r="B11" s="6">
        <f>COUNTIFS(Defects!G4:G1000,"S1",Defects!I4:I1000,"&lt;&gt;Closed-Pass",Defects!I4:I1000,"&lt;&gt;Closed-Won't Fix",Defects!I4:I1000,"&lt;&gt;Closed-Duplicate")</f>
        <v/>
      </c>
      <c r="C11" s="6" t="n">
        <v>0</v>
      </c>
      <c r="D11" s="6">
        <f>IF(B11&lt;=C11,"YES","NO")</f>
        <v/>
      </c>
    </row>
    <row r="12" ht="15" customHeight="1">
      <c r="A12" s="6" t="inlineStr">
        <is>
          <t>Zero open S2 defects (or workaround)</t>
        </is>
      </c>
      <c r="B12" s="6">
        <f>COUNTIFS(Defects!G4:G1000,"S2",Defects!I4:I1000,"&lt;&gt;Closed-Pass",Defects!I4:I1000,"&lt;&gt;Closed-Won't Fix",Defects!I4:I1000,"&lt;&gt;Closed-Duplicate")</f>
        <v/>
      </c>
      <c r="C12" s="6" t="n">
        <v>0</v>
      </c>
      <c r="D12" s="6">
        <f>IF(B12&lt;=C12,"YES","NO")</f>
        <v/>
      </c>
    </row>
    <row r="13" ht="15" customHeight="1">
      <c r="A13" s="6" t="inlineStr">
        <is>
          <t>Daily UAT clean for 3+ days</t>
        </is>
      </c>
      <c r="B13" s="6">
        <f>COUNTIF('Daily UAT'!E22:K22,1)</f>
        <v/>
      </c>
      <c r="C13" s="6" t="n">
        <v>3</v>
      </c>
      <c r="D13" s="6">
        <f>IF(B13&gt;=C13,"YES","NO")</f>
        <v/>
      </c>
    </row>
    <row r="15" ht="15" customHeight="1">
      <c r="A15" s="4" t="inlineStr">
        <is>
          <t>Signatures</t>
        </is>
      </c>
    </row>
    <row r="16" ht="15" customHeight="1">
      <c r="A16" s="5" t="inlineStr">
        <is>
          <t>Role</t>
        </is>
      </c>
      <c r="B16" s="5" t="inlineStr">
        <is>
          <t>Name</t>
        </is>
      </c>
      <c r="C16" s="5" t="inlineStr">
        <is>
          <t>Date</t>
        </is>
      </c>
    </row>
    <row r="17" ht="15" customHeight="1">
      <c r="A17" s="6" t="inlineStr">
        <is>
          <t>Test lead</t>
        </is>
      </c>
      <c r="B17" s="6" t="n"/>
      <c r="C17" s="6" t="n"/>
    </row>
    <row r="18" ht="15" customHeight="1">
      <c r="A18" s="6" t="inlineStr">
        <is>
          <t>Engineering</t>
        </is>
      </c>
      <c r="B18" s="6" t="n"/>
      <c r="C18" s="6" t="n"/>
    </row>
    <row r="19" ht="15" customHeight="1">
      <c r="A19" s="6" t="inlineStr">
        <is>
          <t>Product</t>
        </is>
      </c>
      <c r="B19" s="6" t="n"/>
      <c r="C19" s="6" t="n"/>
    </row>
    <row r="20" ht="15" customHeight="1">
      <c r="A20" s="6" t="inlineStr">
        <is>
          <t>ARL Tech (final)</t>
        </is>
      </c>
      <c r="B20" s="6" t="n"/>
      <c r="C20" s="6" t="n"/>
    </row>
  </sheetData>
  <mergeCells count="1">
    <mergeCell ref="A1:D1"/>
  </mergeCells>
  <pageMargins left="0.75" right="0.75" top="1" bottom="1" header="0.511811023622047" footer="0.511811023622047"/>
  <pageSetup orientation="portrait" paperSize="9" scale="100" fitToHeight="1" fitToWidth="1" firstPageNumber="1" useFirstPageNumber="1" horizontalDpi="300" verticalDpi="300" copies="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selection activeCell="A1" sqref="A1"/>
    </sheetView>
  </sheetViews>
  <sheetFormatPr baseColWidth="8" defaultRowHeight="15" outlineLevelRow="0"/>
  <cols>
    <col width="22" customWidth="1" min="1" max="1"/>
    <col width="36" customWidth="1" min="2" max="3"/>
    <col width="22" customWidth="1" min="4" max="4"/>
    <col width="50" customWidth="1" min="5" max="5"/>
    <col width="38" customWidth="1" min="6" max="6"/>
    <col width="50" customWidth="1" min="7" max="7"/>
    <col width="24" customWidth="1" min="8" max="8"/>
  </cols>
  <sheetData>
    <row r="1" customFormat="1" s="14">
      <c r="A1" s="15" t="inlineStr">
        <is>
          <t>CRM Module</t>
        </is>
      </c>
      <c r="B1" s="15" t="inlineStr">
        <is>
          <t>CRM Trigger</t>
        </is>
      </c>
      <c r="C1" s="15" t="inlineStr">
        <is>
          <t>Supabase Tables</t>
        </is>
      </c>
      <c r="D1" s="15" t="inlineStr">
        <is>
          <t>Webhook Handler</t>
        </is>
      </c>
      <c r="E1" s="15" t="inlineStr">
        <is>
          <t>Last Webhook Event</t>
        </is>
      </c>
      <c r="F1" s="15" t="inlineStr">
        <is>
          <t>Last Row updated_at</t>
        </is>
      </c>
      <c r="G1" s="15" t="inlineStr">
        <is>
          <t>Drift Confirmed (Y/N)</t>
        </is>
      </c>
      <c r="H1" s="15" t="inlineStr">
        <is>
          <t>Linked Defect</t>
        </is>
      </c>
    </row>
    <row r="2">
      <c r="A2" s="16" t="inlineStr">
        <is>
          <t>Contacts</t>
        </is>
      </c>
      <c r="B2" s="16" t="inlineStr">
        <is>
          <t>Investor create/update (auth lifecycle: KYC, bank, profile flags)</t>
        </is>
      </c>
      <c r="C2" s="16" t="inlineStr">
        <is>
          <t>investors</t>
        </is>
      </c>
      <c r="D2" s="16" t="inlineStr">
        <is>
          <t>handleContact()</t>
        </is>
      </c>
      <c r="E2" s="16" t="inlineStr">
        <is>
          <t>2026-05-11T10:39Z status=processed (Push_Contact_To_Supabase Deluge)</t>
        </is>
      </c>
      <c r="F2" s="16" t="inlineStr">
        <is>
          <t>2026-04-29T20:57:35Z (Sahil Mohite)</t>
        </is>
      </c>
      <c r="G2" s="16" t="inlineStr">
        <is>
          <t>N (handler + reconcile both verified writing last_synced_at)</t>
        </is>
      </c>
      <c r="H2" s="16" t="inlineStr">
        <is>
          <t>DEF-2026-05-07-03</t>
        </is>
      </c>
    </row>
    <row r="3">
      <c r="A3" s="16" t="inlineStr">
        <is>
          <t>LLP_Creation_Module</t>
        </is>
      </c>
      <c r="B3" s="16" t="inlineStr">
        <is>
          <t>LLP create/update (legal metadata + project operational fields)</t>
        </is>
      </c>
      <c r="C3" s="16" t="inlineStr">
        <is>
          <t>llps + projects</t>
        </is>
      </c>
      <c r="D3" s="16" t="inlineStr">
        <is>
          <t>handleProject()</t>
        </is>
      </c>
      <c r="E3" s="16" t="inlineStr">
        <is>
          <t>2026-05-11T10:42Z status=processed (manual fire post UAT LLP create)</t>
        </is>
      </c>
      <c r="F3" s="16" t="inlineStr">
        <is>
          <t>llps 2026-04-29T20:57:35Z / projects 2026-04-29T20:39:04Z</t>
        </is>
      </c>
      <c r="G3" s="16" t="inlineStr">
        <is>
          <t>N (LLP fields populated; is_listed_in_marketplace gap → DEF-2026-05-11-01)</t>
        </is>
      </c>
      <c r="H3" s="16" t="inlineStr">
        <is>
          <t>DEF-2026-05-07-03</t>
        </is>
      </c>
    </row>
    <row r="4">
      <c r="A4" s="16" t="inlineStr">
        <is>
          <t>LLP_UnitAllocation_Module</t>
        </is>
      </c>
      <c r="B4" s="16" t="inlineStr">
        <is>
          <t>Allocation create/update (units, capital, payment status, payouts)</t>
        </is>
      </c>
      <c r="C4" s="16" t="inlineStr">
        <is>
          <t>investor_units (+ payouts, notifications side effects)</t>
        </is>
      </c>
      <c r="D4" s="16" t="inlineStr">
        <is>
          <t>handleAllocation()</t>
        </is>
      </c>
      <c r="E4" s="16" t="inlineStr">
        <is>
          <t>2026-05-11T10:42Z status=processed (allocation create via webhook)</t>
        </is>
      </c>
      <c r="F4" s="16" t="inlineStr">
        <is>
          <t>investor_units 2026-04-29T16:23-16:59Z; payouts=0; notifications=0</t>
        </is>
      </c>
      <c r="G4" s="16" t="inlineStr">
        <is>
          <t>N (allocation_status + dates landing post asNumber+asDate patches)</t>
        </is>
      </c>
      <c r="H4" s="16" t="inlineStr">
        <is>
          <t>DEF-2026-05-07-02 + DEF-2026-05-07-03</t>
        </is>
      </c>
    </row>
    <row r="5">
      <c r="A5" s="16" t="inlineStr">
        <is>
          <t>Attachments (gallery)</t>
        </is>
      </c>
      <c r="B5" s="16" t="inlineStr">
        <is>
          <t>Daily pull cron 06:00 IST (gallery-sync function)</t>
        </is>
      </c>
      <c r="C5" s="16" t="inlineStr">
        <is>
          <t>gallery_photos + Storage bucket arl-gallery</t>
        </is>
      </c>
      <c r="D5" s="16" t="inlineStr">
        <is>
          <t>gallery-sync (pull, not webhook)</t>
        </is>
      </c>
      <c r="E5" s="16" t="inlineStr">
        <is>
          <t>(unchanged — gallery-sync cron 06:00 IST daily)</t>
        </is>
      </c>
      <c r="F5" s="16" t="inlineStr">
        <is>
          <t>gallery_photos visibility RLS-blocked from this query</t>
        </is>
      </c>
      <c r="G5" s="16" t="inlineStr">
        <is>
          <t>Unknown (not re-investigated this week)</t>
        </is>
      </c>
      <c r="H5" s="16" t="inlineStr">
        <is>
          <t>-</t>
        </is>
      </c>
    </row>
    <row r="7" customFormat="1" s="14">
      <c r="A7" s="14" t="inlineStr">
        <is>
          <t>Notes:</t>
        </is>
      </c>
    </row>
    <row r="8">
      <c r="A8" t="inlineStr">
        <is>
          <t>- All "Last Webhook Event" rows reflect webhook_log being completely empty (0 total rows) as of 2026-05-07. Either Zoho workflows are not configured to POST to /functions/v1/zoho-crm-webhook, or they are POSTing with a wrong X-ARL-Webhook-Secret (rejected before logging).</t>
        </is>
      </c>
    </row>
    <row r="9">
      <c r="A9" t="inlineStr">
        <is>
          <t>- After migrations 023 + 024 land + Zoho workflows are configured, expect: webhook_log rows arriving within seconds of CRM edits, llps/projects/investors/investor_units.last_synced_at populated, and zoho-reconcile-daily as fallback at 01:00 UTC.</t>
        </is>
      </c>
    </row>
    <row r="10">
      <c r="A10" t="inlineStr">
        <is>
          <t>- sync-stale-alert (hourly) writes to public.sync_alerts when max(last_synced_at) exceeds per-table thresholds (llps/projects 24h, investors 6h, investor_units 2h).</t>
        </is>
      </c>
    </row>
  </sheetData>
  <pageMargins left="0.7" right="0.7" top="0.75" bottom="0.75" header="0.3" footer="0.3"/>
  <pageSetup orientation="portrait" scale="100" fitToHeight="1" fitToWidth="1" firstPageNumber="1" useFirstPageNumber="1" horizontalDpi="4294967295" verticalDpi="4294967295" copies="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3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38" customWidth="1" min="2" max="2"/>
    <col width="10" customWidth="1" min="3" max="3"/>
    <col width="56" customWidth="1" min="4" max="4"/>
    <col width="70" customWidth="1" min="5" max="5"/>
    <col width="13" customWidth="1" min="6" max="6"/>
    <col width="12" customWidth="1" min="8" max="8"/>
    <col width="8" customWidth="1" min="9" max="9"/>
  </cols>
  <sheetData>
    <row r="1">
      <c r="A1" s="17" t="inlineStr">
        <is>
          <t>Flutter Feature Audit — current implementation</t>
        </is>
      </c>
    </row>
    <row r="2" ht="32" customHeight="1">
      <c r="A2" s="18" t="inlineStr">
        <is>
          <t>End-to-end audit of every screen under lib/features/ (Growize / ARL Investor Portal). Pass = wired with real Supabase + live navigation. Partial = wired but data/action stubbed. Fail = dead screen, no persistence, or unreachable.</t>
        </is>
      </c>
    </row>
    <row r="3">
      <c r="A3" s="19" t="inlineStr">
        <is>
          <t>Analyzer baseline: 'No issues found' (per analyze_output.txt). Tested on 2026-05-12.</t>
        </is>
      </c>
    </row>
    <row r="4"/>
    <row r="5" ht="22" customHeight="1">
      <c r="A5" s="20" t="inlineStr">
        <is>
          <t>Feature</t>
        </is>
      </c>
      <c r="B5" s="20" t="inlineStr">
        <is>
          <t>Screen</t>
        </is>
      </c>
      <c r="C5" s="20" t="inlineStr">
        <is>
          <t>Status</t>
        </is>
      </c>
      <c r="D5" s="20" t="inlineStr">
        <is>
          <t>Notes</t>
        </is>
      </c>
      <c r="E5" s="20" t="inlineStr">
        <is>
          <t>User Journey</t>
        </is>
      </c>
      <c r="F5" s="20" t="inlineStr">
        <is>
          <t>Last Tested</t>
        </is>
      </c>
      <c r="H5" s="21" t="inlineStr">
        <is>
          <t>Summary</t>
        </is>
      </c>
    </row>
    <row r="6" ht="90" customHeight="1">
      <c r="A6" s="22" t="inlineStr">
        <is>
          <t>auth</t>
        </is>
      </c>
      <c r="B6" s="22" t="inlineStr">
        <is>
          <t>AuthScreen (auth_screen.dart)</t>
        </is>
      </c>
      <c r="C6" s="23" t="inlineStr">
        <is>
          <t>Pass</t>
        </is>
      </c>
      <c r="D6" s="22" t="inlineStr">
        <is>
          <t>Routed at /auth (public). Entry to Sign In + Get Started. SessionManager handles real Supabase auth. Dev bypass flag (ARL_DEV_BYPASS=true) works for design preview.</t>
        </is>
      </c>
      <c r="E6" s="22" t="inlineStr">
        <is>
          <t>User opens app unauthenticated → AuthScreen renders 'Growize' title with two buttons. 'Sign In' routes to /login. 'Get Started' routes to /setup. After successful auth, GoRouter refresh redirects to /.</t>
        </is>
      </c>
      <c r="F6" s="22" t="inlineStr">
        <is>
          <t>2026-05-12</t>
        </is>
      </c>
      <c r="H6" s="24" t="inlineStr">
        <is>
          <t>Total</t>
        </is>
      </c>
      <c r="I6" s="25">
        <f>COUNTA(B6:B32)</f>
        <v/>
      </c>
    </row>
    <row r="7" ht="90" customHeight="1">
      <c r="A7" s="26" t="inlineStr">
        <is>
          <t>auth</t>
        </is>
      </c>
      <c r="B7" s="26" t="inlineStr">
        <is>
          <t>LoginScreen (login_screen.dart)</t>
        </is>
      </c>
      <c r="C7" s="23" t="inlineStr">
        <is>
          <t>Pass</t>
        </is>
      </c>
      <c r="D7" s="26" t="inlineStr">
        <is>
          <t>Email/password + email OTP fallback, password reset modal. Calls real Supabase signInWithEmailPassword / signInWithOtp / verifyEmailOtp / requestPasswordReset.</t>
        </is>
      </c>
      <c r="E7" s="26" t="inlineStr">
        <is>
          <t>From /auth tap Sign In → /login. User enters email+password and submits, OR switches to OTP mode (enter email, request OTP, enter code). On success, SessionManager fires authStateChange → router redirects to /home. 'Forgot password' opens reset modal that hits Supabase.</t>
        </is>
      </c>
      <c r="F7" s="26" t="inlineStr">
        <is>
          <t>2026-05-12</t>
        </is>
      </c>
      <c r="H7" s="24" t="inlineStr">
        <is>
          <t>Pass</t>
        </is>
      </c>
      <c r="I7" s="25">
        <f>COUNTIF(C6:C32,"Pass")</f>
        <v/>
      </c>
    </row>
    <row r="8" ht="90" customHeight="1">
      <c r="A8" s="22" t="inlineStr">
        <is>
          <t>auth</t>
        </is>
      </c>
      <c r="B8" s="22" t="inlineStr">
        <is>
          <t>InitialSetupScreen (setup_screen.dart)</t>
        </is>
      </c>
      <c r="C8" s="27" t="inlineStr">
        <is>
          <t>Partial</t>
        </is>
      </c>
      <c r="D8" s="22" t="inlineStr">
        <is>
          <t>3-step onboarding wizard (personal / KYC / bank). Client-side only — no backend submission; final step shows snackbar confirmation only. Backend onboard endpoint not wired in.</t>
        </is>
      </c>
      <c r="E8" s="22" t="inlineStr">
        <is>
          <t>From /auth tap 'Get Started' → /setup. Wizard steps: (1) name+email+DOB, (2) PAN+Aadhaar, (3) bank account+IFSC. Each step has Next button. Final 'Submit' shows 'Setup submitted' snackbar and routes to /. Data not persisted to investors table.</t>
        </is>
      </c>
      <c r="F8" s="22" t="inlineStr">
        <is>
          <t>2026-05-12</t>
        </is>
      </c>
      <c r="H8" s="24" t="inlineStr">
        <is>
          <t>Partial</t>
        </is>
      </c>
      <c r="I8" s="25">
        <f>COUNTIF(C6:C32,"Partial")</f>
        <v/>
      </c>
    </row>
    <row r="9" ht="90" customHeight="1">
      <c r="A9" s="26" t="inlineStr">
        <is>
          <t>auth</t>
        </is>
      </c>
      <c r="B9" s="26" t="inlineStr">
        <is>
          <t>BiometricScreen (biometric_screen.dart)</t>
        </is>
      </c>
      <c r="C9" s="28" t="inlineStr">
        <is>
          <t>Pass</t>
        </is>
      </c>
      <c r="D9" s="26" t="inlineStr">
        <is>
          <t>Registered at /biometric outside the ShellRoute (full-screen, no bottom nav). Pops with bool result: true on biometric success, false on cancel. Reached as an enrollment gate from SecurityScreen when the Biometric Login toggle is turned on; the persisted biometric_enabled flag flips only after a real BiometricGuard check passes. Legacy direct-entry path still routes to home on success. Analyzer clean.</t>
        </is>
      </c>
      <c r="E9" s="26" t="inlineStr">
        <is>
          <t>From SecurityScreen, toggle Biometric Login ON -&gt; BiometricScreen pushed full-screen. Fingerprint icon, 'Verify to continue', auto-attempts local_auth on open. On success, screen pops with true and SecurityScreen persists biometric_enabled=true via UserSettingsRepository. On cancel/fail, pops with false and the switch reverts. Turning the toggle OFF persists directly without another biometric prompt.</t>
        </is>
      </c>
      <c r="F9" s="26" t="inlineStr">
        <is>
          <t>2026-05-12</t>
        </is>
      </c>
      <c r="H9" s="24" t="inlineStr">
        <is>
          <t>Fail</t>
        </is>
      </c>
      <c r="I9" s="25">
        <f>COUNTIF(C6:C32,"Fail")</f>
        <v/>
      </c>
    </row>
    <row r="10" ht="90" customHeight="1">
      <c r="A10" s="22" t="inlineStr">
        <is>
          <t>auth</t>
        </is>
      </c>
      <c r="B10" s="22" t="inlineStr">
        <is>
          <t>SessionManager (core/auth/session_manager.dart)</t>
        </is>
      </c>
      <c r="C10" s="23" t="inlineStr">
        <is>
          <t>Pass</t>
        </is>
      </c>
      <c r="D10" s="22" t="inlineStr">
        <is>
          <t>authStateChanges stream powers GoRouterRefreshStream. isLoggedInProvider drives redirect logic. Public routes set: /auth, /login, /setup.</t>
        </is>
      </c>
      <c r="E10" s="22" t="inlineStr">
        <is>
          <t>Not a screen — backbone. Any auth change emits → router re-evaluates redirect → users on private routes when logged-out get bounced to /auth, and vice versa.</t>
        </is>
      </c>
      <c r="F10" s="22" t="inlineStr">
        <is>
          <t>2026-05-12</t>
        </is>
      </c>
    </row>
    <row r="11" ht="90" customHeight="1">
      <c r="A11" s="26" t="inlineStr">
        <is>
          <t>home</t>
        </is>
      </c>
      <c r="B11" s="26" t="inlineStr">
        <is>
          <t>HomeScreen (home_screen.dart)</t>
        </is>
      </c>
      <c r="C11" s="23" t="inlineStr">
        <is>
          <t>Pass</t>
        </is>
      </c>
      <c r="D11" s="26" t="inlineStr">
        <is>
          <t>Routed at /. Dashboard with greeting, project selector pill, portfolio card, project progress, quick stats. Calls portfolio_summary view via financials repository. AsyncValue handled with skeletons. Falls back to demoPortfolioSummary for unauthenticated preview.</t>
        </is>
      </c>
      <c r="E11" s="26" t="inlineStr">
        <is>
          <t>Default landing after login. Skeleton shows briefly → renders greeting using investor first name, then PortfolioCard (total invested / returns / units / ROI), ProjectProgressCard (allocation by project), QuickStatsRow. Tapping the project selector pill at top routes to /project-selector to scope dashboard data.</t>
        </is>
      </c>
      <c r="F11" s="26" t="inlineStr">
        <is>
          <t>2026-05-12</t>
        </is>
      </c>
    </row>
    <row r="12" ht="90" customHeight="1">
      <c r="A12" s="22" t="inlineStr">
        <is>
          <t>home</t>
        </is>
      </c>
      <c r="B12" s="22" t="inlineStr">
        <is>
          <t>PortfolioCard / ProjectProgressCard / QuickStatsRow</t>
        </is>
      </c>
      <c r="C12" s="23" t="inlineStr">
        <is>
          <t>Pass</t>
        </is>
      </c>
      <c r="D12" s="22" t="inlineStr">
        <is>
          <t>Pure stateless widgets; consume PortfolioSummary from provider. No own backend.</t>
        </is>
      </c>
      <c r="E12" s="22" t="inlineStr">
        <is>
          <t>Sub-widgets of HomeScreen only. Always rendered together with the same provider data.</t>
        </is>
      </c>
      <c r="F12" s="22" t="inlineStr">
        <is>
          <t>2026-05-12</t>
        </is>
      </c>
    </row>
    <row r="13" ht="90" customHeight="1">
      <c r="A13" s="26" t="inlineStr">
        <is>
          <t>projects</t>
        </is>
      </c>
      <c r="B13" s="26" t="inlineStr">
        <is>
          <t>ProjectsListScreen (projects_list_screen.dart)</t>
        </is>
      </c>
      <c r="C13" s="23" t="inlineStr">
        <is>
          <t>Pass</t>
        </is>
      </c>
      <c r="D13" s="26" t="inlineStr">
        <is>
          <t>Routed at /projects. projectsProvider queries supabase.from('projects'). Demo fallback for unauthenticated only.</t>
        </is>
      </c>
      <c r="E13" s="26" t="inlineStr">
        <is>
          <t>Tap Projects in bottom nav → list of cards (one per investor's project) with name, progress bar, invested amount, status pill. Tap a card → /projects/:id ProjectDetailScreen.</t>
        </is>
      </c>
      <c r="F13" s="26" t="inlineStr">
        <is>
          <t>2026-05-12</t>
        </is>
      </c>
    </row>
    <row r="14" ht="90" customHeight="1">
      <c r="A14" s="22" t="inlineStr">
        <is>
          <t>projects</t>
        </is>
      </c>
      <c r="B14" s="22" t="inlineStr">
        <is>
          <t>ProjectDetailScreen (project_detail_screen.dart)</t>
        </is>
      </c>
      <c r="C14" s="23" t="inlineStr">
        <is>
          <t>Pass</t>
        </is>
      </c>
      <c r="D14" s="22" t="inlineStr">
        <is>
          <t>Routed at /projects/:id. Uses projectByIdProvider + investorAllocationProvider + investorUnitsListProvider + projectPhasesProvider — all real Supabase.</t>
        </is>
      </c>
      <c r="E14" s="22" t="inlineStr">
        <is>
          <t>Reached from list tap. Shows project header, phase timeline (feature-gated, hidden 6mo post-investment), investment breakdown (units × unit_value), annual yield. Button 'View Area' pushes /location/:projectId.</t>
        </is>
      </c>
      <c r="F14" s="22" t="inlineStr">
        <is>
          <t>2026-05-12</t>
        </is>
      </c>
    </row>
    <row r="15" ht="90" customHeight="1">
      <c r="A15" s="26" t="inlineStr">
        <is>
          <t>projects</t>
        </is>
      </c>
      <c r="B15" s="26" t="inlineStr">
        <is>
          <t>ProjectSelectorScreen (project_selector_screen.dart)</t>
        </is>
      </c>
      <c r="C15" s="23" t="inlineStr">
        <is>
          <t>Pass</t>
        </is>
      </c>
      <c r="D15" s="26" t="inlineStr">
        <is>
          <t>Routed at /project-selector. Updates selectedProjectIdProvider used by Home + Financials + Gallery for scoping.</t>
        </is>
      </c>
      <c r="E15" s="26" t="inlineStr">
        <is>
          <t>Reached from project pill on Home/Financials. Shows 'All Projects' option + list of investor's projects. Tap to select → updates selectedProjectIdProvider → caller screens recompute → pops back.</t>
        </is>
      </c>
      <c r="F15" s="26" t="inlineStr">
        <is>
          <t>2026-05-12</t>
        </is>
      </c>
    </row>
    <row r="16" ht="90" customHeight="1">
      <c r="A16" s="22" t="inlineStr">
        <is>
          <t>projects</t>
        </is>
      </c>
      <c r="B16" s="22" t="inlineStr">
        <is>
          <t>LocationScreen (location_screen.dart)</t>
        </is>
      </c>
      <c r="C16" s="27" t="inlineStr">
        <is>
          <t>Partial</t>
        </is>
      </c>
      <c r="D16" s="22" t="inlineStr">
        <is>
          <t>Routed at /location/:projectId. Static placeholder map + region attributes (climate, soil, water). No real geolocation or tile rendering.</t>
        </is>
      </c>
      <c r="E16" s="22" t="inlineStr">
        <is>
          <t>From ProjectDetailScreen 'View Area' button. Shows static 'map' image + textual region info. No interactive map (Mapbox/Google Maps not integrated). Back button returns to project detail.</t>
        </is>
      </c>
      <c r="F16" s="22" t="inlineStr">
        <is>
          <t>2026-05-12</t>
        </is>
      </c>
    </row>
    <row r="17" ht="90" customHeight="1">
      <c r="A17" s="26" t="inlineStr">
        <is>
          <t>financials</t>
        </is>
      </c>
      <c r="B17" s="26" t="inlineStr">
        <is>
          <t>FinancialsScreen (financials_screen.dart)</t>
        </is>
      </c>
      <c r="C17" s="23" t="inlineStr">
        <is>
          <t>Pass</t>
        </is>
      </c>
      <c r="D17" s="26" t="inlineStr">
        <is>
          <t>Routed at /financials. Two tabs: Payouts (real payouts table query joined with projects) and Financials (portfolio_summary view + computed projections). Reactive to selectedProjectIdProvider.</t>
        </is>
      </c>
      <c r="E17" s="26" t="inlineStr">
        <is>
          <t>Tap Financials tab in bottom nav. Tab 1 'Payouts': ledger of bank transfers with UTR ref or 'Awaiting transfer' status, This-FY earnings card, tax info banner. Tab 2 'Financials': capital invested vs returns, risk/return quadrant scatter, 5-year earnings outlook bars. Top button 'All Projects' opens /project-selector for scoping.</t>
        </is>
      </c>
      <c r="F17" s="26" t="inlineStr">
        <is>
          <t>2026-05-12</t>
        </is>
      </c>
    </row>
    <row r="18" ht="90" customHeight="1">
      <c r="A18" s="22" t="inlineStr">
        <is>
          <t>explore</t>
        </is>
      </c>
      <c r="B18" s="22" t="inlineStr">
        <is>
          <t>ExploreScreen (explore_screen.dart)</t>
        </is>
      </c>
      <c r="C18" s="27" t="inlineStr">
        <is>
          <t>Partial</t>
        </is>
      </c>
      <c r="D18" s="22" t="inlineStr">
        <is>
          <t>Routed at /explore. marketplaceProjectsProvider queries projects WHERE is_listed_in_marketplace=true (live). Filter pills + project picker + unit slider work. 'Request Consultation' button is a STUB (snackbar only, TODO comment in code; no support_repository call).</t>
        </is>
      </c>
      <c r="E18" s="22" t="inlineStr">
        <is>
          <t>Tap Explore in bottom nav. Sees filter pills (All / Open for Reservation / Coming Soon). Selects a marketplace project from dropdown → detail card (crop, tier, available units, price). Slider adjusts unit count → total cost + projected return update live. 'Request Consultation' button → snackbar 'Request received' but nothing persisted.</t>
        </is>
      </c>
      <c r="F18" s="22" t="inlineStr">
        <is>
          <t>2026-05-12</t>
        </is>
      </c>
    </row>
    <row r="19" ht="90" customHeight="1">
      <c r="A19" s="26" t="inlineStr">
        <is>
          <t>gallery</t>
        </is>
      </c>
      <c r="B19" s="26" t="inlineStr">
        <is>
          <t>GalleryScreen (gallery_screen.dart)</t>
        </is>
      </c>
      <c r="C19" s="27" t="inlineStr">
        <is>
          <t>Partial</t>
        </is>
      </c>
      <c r="D19" s="26" t="inlineStr">
        <is>
          <t>Routed at /gallery. galleryProvider scoped by selectedProjectIdProvider, queries gallery_photos table + batch signed URLs via StorageHelper. CachedNetworkImage for tiles.</t>
        </is>
      </c>
      <c r="E19" s="26" t="inlineStr">
        <is>
          <t>Tap Gallery in bottom nav. Photos grouped by date (newest first), 3-column grid. Banner: 'Photos captured daily at 9:00 AM IST'. Tiles show #index badge. NO tap handler on tiles — cannot open lightbox or see captions. Empty state for projects with no photos.</t>
        </is>
      </c>
      <c r="F19" s="26" t="inlineStr">
        <is>
          <t>2026-05-12</t>
        </is>
      </c>
    </row>
    <row r="20" ht="90" customHeight="1">
      <c r="A20" s="22" t="inlineStr">
        <is>
          <t>documents</t>
        </is>
      </c>
      <c r="B20" s="22" t="inlineStr">
        <is>
          <t>DocumentsScreen (documents_screen.dart)</t>
        </is>
      </c>
      <c r="C20" s="23" t="inlineStr">
        <is>
          <t>Pass</t>
        </is>
      </c>
      <c r="D20" s="22" t="inlineStr">
        <is>
          <t>Routed at /documents. documentsProvider calls DocumentsRepository.myDocuments() → supabase.from('documents') + signed URLs. Hive offline cache. Read-only.</t>
        </is>
      </c>
      <c r="E20" s="22" t="inlineStr">
        <is>
          <t>Tap Documents in bottom nav OR from Profile menu. Accordion sections by category (Legal Agreements / Contracts / KYC / Other). Tap section → expands list of files (name, upload date, size). Eye icon → opens signed URL in external browser via url_launcher. Offline mode uses cached metadata.</t>
        </is>
      </c>
      <c r="F20" s="22" t="inlineStr">
        <is>
          <t>2026-05-12</t>
        </is>
      </c>
    </row>
    <row r="21" ht="90" customHeight="1">
      <c r="A21" s="26" t="inlineStr">
        <is>
          <t>activity</t>
        </is>
      </c>
      <c r="B21" s="26" t="inlineStr">
        <is>
          <t>ActivityScreen (activity_screen.dart)</t>
        </is>
      </c>
      <c r="C21" s="23" t="inlineStr">
        <is>
          <t>Pass</t>
        </is>
      </c>
      <c r="D21" s="26" t="inlineStr">
        <is>
          <t>Routed at /activity. Two views: Notifications (real Supabase via activityRepository) + Activity History (intentionally stubbed). unreadCountProvider + markAllRead wired.</t>
        </is>
      </c>
      <c r="E21" s="26" t="inlineStr">
        <is>
          <t>Tap Activity in bottom nav. Default 'Notifications' view: cards colored by type (payout=gold, success=green, warning=orange) with optional CTA. CTA from metadata.cta_route navigates to /projects/:id etc. Filter chips (All / Operational / Payouts). Toggle to 'History' view — empty state for authenticated users (stubbed); demo timeline for unauthenticated preview.</t>
        </is>
      </c>
      <c r="F21" s="26" t="inlineStr">
        <is>
          <t>2026-05-12</t>
        </is>
      </c>
    </row>
    <row r="22" ht="90" customHeight="1">
      <c r="A22" s="22" t="inlineStr">
        <is>
          <t>profile</t>
        </is>
      </c>
      <c r="B22" s="22" t="inlineStr">
        <is>
          <t>ProfileScreen (profile_screen.dart)</t>
        </is>
      </c>
      <c r="C22" s="23" t="inlineStr">
        <is>
          <t>Pass</t>
        </is>
      </c>
      <c r="D22" s="22" t="inlineStr">
        <is>
          <t>Routed at /profile. currentInvestorProvider + projectsProvider + portfolioSummaryProvider all live. Hive cache fallback for investor row.</t>
        </is>
      </c>
      <c r="E22" s="22" t="inlineStr">
        <is>
          <t>Tap Profile in bottom nav. Header: avatar initials + name + KYC badge + project count + invested amount. 'Active Projects' card. Account section: KYC Details → /kyc, Bank Details → /bank-details, Documents → /documents. Support section: Assistance → /support, Project Exit → /exit, Security → /security, Replay Tour (resets tutorialSeenProvider). Sign Out button at bottom calls SessionManager.signOut().</t>
        </is>
      </c>
      <c r="F22" s="22" t="inlineStr">
        <is>
          <t>2026-05-12</t>
        </is>
      </c>
    </row>
    <row r="23" ht="90" customHeight="1">
      <c r="A23" s="26" t="inlineStr">
        <is>
          <t>profile</t>
        </is>
      </c>
      <c r="B23" s="26" t="inlineStr">
        <is>
          <t>KycScreen (kyc_screen.dart)</t>
        </is>
      </c>
      <c r="C23" s="27" t="inlineStr">
        <is>
          <t>Partial</t>
        </is>
      </c>
      <c r="D23" s="26" t="inlineStr">
        <is>
          <t>Routed at /kyc. Read-only display via currentInvestorProvider. Status banner switch on kyc_status (verified/in_progress/rejected/pending). 'Re-submit KYC' button is a STUB (snackbar prompting contact support).</t>
        </is>
      </c>
      <c r="E23" s="26" t="inlineStr">
        <is>
          <t>From Profile tap 'KYC Details' → /kyc. Status banner with icon + color (e.g. 'KYC Verified · Verified on 2026-03-12'). Read-only fields: Full Name (with Verified pill if applicable), PAN masked, Aadhaar masked, DOB, Address. If rejected, 'Re-submit KYC' button shows 'Please contact support' snackbar — no actual resubmit flow.</t>
        </is>
      </c>
      <c r="F23" s="26" t="inlineStr">
        <is>
          <t>2026-05-12</t>
        </is>
      </c>
    </row>
    <row r="24" ht="90" customHeight="1">
      <c r="A24" s="22" t="inlineStr">
        <is>
          <t>profile</t>
        </is>
      </c>
      <c r="B24" s="22" t="inlineStr">
        <is>
          <t>BankDetailsScreen (bank_details_screen.dart)</t>
        </is>
      </c>
      <c r="C24" s="23" t="inlineStr">
        <is>
          <t>Pass</t>
        </is>
      </c>
      <c r="D24" s="22" t="inlineStr">
        <is>
          <t>Routed at /bank-details. Investor bank fields + inline FutureProvider for bank_change_requests. Submit calls supportRepository.requestBankChange → Edge Function fnBankChangeRequest. Invalidation on success.</t>
        </is>
      </c>
      <c r="E24" s="22" t="inlineStr">
        <is>
          <t>From Profile tap 'Bank Details' → /bank-details. Shows account holder, bank, masked account, IFSC in one card. Verified pill if KYC verified. Amber banner if pending change request exists. 'Update Bank Account' opens bottom sheet (Bank / Account / IFSC / Holder fields). Submit calls Edge Function → success snackbar + invalidates currentInvestorProvider; error mapped to 429=dupe / 400=invalid.</t>
        </is>
      </c>
      <c r="F24" s="22" t="inlineStr">
        <is>
          <t>2026-05-12</t>
        </is>
      </c>
    </row>
    <row r="25" ht="90" customHeight="1">
      <c r="A25" s="26" t="inlineStr">
        <is>
          <t>profile</t>
        </is>
      </c>
      <c r="B25" s="26" t="inlineStr">
        <is>
          <t>SecurityScreen (security_screen.dart)</t>
        </is>
      </c>
      <c r="C25" s="28" t="inlineStr">
        <is>
          <t>Pass</t>
        </is>
      </c>
      <c r="D25" s="26" t="inlineStr">
        <is>
          <t>Toggles (biometric, notifications) persist to user_settings via UserSettingsRepository on Supabase (RLS-scoped to auth.uid). App PIN: set/change/remove flow stores salted client-side SHA-256 iterated hash (never plaintext) keyed off auth user. Last-login + login history rendered from login_events table written on every AuthChangeEvent.signedIn. Migration 026 adds user_settings + login_events with RLS. Analyzer clean.</t>
        </is>
      </c>
      <c r="E25" s="26" t="inlineStr">
        <is>
          <t>From Profile tap 'Security' -&gt; /security. Toggling Biometric or Notifications writes to user_settings and the row reloads. Tapping 'App PIN' opens a flow: if no PIN, prompt twice and save the hash; if set, sheet offers Change (current+new) or Remove. Login History card lists recent sign-ins from login_events with timestamp + device. Last login reflects newest login_events row.</t>
        </is>
      </c>
      <c r="F25" s="26" t="inlineStr">
        <is>
          <t>2026-05-12</t>
        </is>
      </c>
    </row>
    <row r="26" ht="90" customHeight="1">
      <c r="A26" s="22" t="inlineStr">
        <is>
          <t>support</t>
        </is>
      </c>
      <c r="B26" s="22" t="inlineStr">
        <is>
          <t>SupportScreen (support_screen.dart)</t>
        </is>
      </c>
      <c r="C26" s="23" t="inlineStr">
        <is>
          <t>Pass</t>
        </is>
      </c>
      <c r="D26" s="22" t="inlineStr">
        <is>
          <t>Routed at /support. _ticketsProvider calls supportRepository.myTickets(). Falls back to mockSupportTickets if real list is empty (note: masks backend errors as 'empty').</t>
        </is>
      </c>
      <c r="E26" s="22" t="inlineStr">
        <is>
          <t>From Profile tap 'Assistance' → /support. Primary CTA 'Raise a Ticket' → /new-ticket. 'My Tickets' list with status badges and dates. Tap any ticket → /ticket/:id.</t>
        </is>
      </c>
      <c r="F26" s="22" t="inlineStr">
        <is>
          <t>2026-05-12</t>
        </is>
      </c>
    </row>
    <row r="27" ht="90" customHeight="1">
      <c r="A27" s="26" t="inlineStr">
        <is>
          <t>support</t>
        </is>
      </c>
      <c r="B27" s="26" t="inlineStr">
        <is>
          <t>TicketDetailScreen (ticket_detail_screen.dart)</t>
        </is>
      </c>
      <c r="C27" s="23" t="inlineStr">
        <is>
          <t>Pass</t>
        </is>
      </c>
      <c r="D27" s="26" t="inlineStr">
        <is>
          <t>Routed at /ticket/:ticketId. ticketByIdProvider + ticketMessagesProvider (Supabase support_tickets + ticket_messages). Reply via Edge Function fnReplyTicket; invalidates messages on success.</t>
        </is>
      </c>
      <c r="E27" s="26" t="inlineStr">
        <is>
          <t>From SupportScreen tap a ticket → /ticket/:id. AppBar: subject + status chip. Conversation thread: investor messages cream-left, support messages green-right, with timestamps (.toLocal()). Reply box at bottom with send icon. If status=resolved, reply box replaced by 'This ticket is closed' banner. 404 pops back to /support.</t>
        </is>
      </c>
      <c r="F27" s="26" t="inlineStr">
        <is>
          <t>2026-05-12</t>
        </is>
      </c>
    </row>
    <row r="28" ht="90" customHeight="1">
      <c r="A28" s="22" t="inlineStr">
        <is>
          <t>support</t>
        </is>
      </c>
      <c r="B28" s="22" t="inlineStr">
        <is>
          <t>NewTicketScreen (new_ticket_screen.dart)</t>
        </is>
      </c>
      <c r="C28" s="23" t="inlineStr">
        <is>
          <t>Pass</t>
        </is>
      </c>
      <c r="D28" s="22" t="inlineStr">
        <is>
          <t>Routed at /new-ticket. Form calls supportRepository.createTicket → Edge Function fnCreateTicket. Category dropdown maps user labels to backend enum (payout/documents/general/etc).</t>
        </is>
      </c>
      <c r="E28" s="22" t="inlineStr">
        <is>
          <t>From SupportScreen tap 'Raise a Ticket' → /new-ticket. Form: Subject text input, Category dropdown (default 'Payout Issue'), Description textarea. Submit disables button + shows spinner. Success: snackbar 'Ticket submitted successfully' + pops to /support. Error: 'Failed to submit: &lt;msg&gt;' snackbar.</t>
        </is>
      </c>
      <c r="F28" s="22" t="inlineStr">
        <is>
          <t>2026-05-12</t>
        </is>
      </c>
    </row>
    <row r="29" ht="90" customHeight="1">
      <c r="A29" s="26" t="inlineStr">
        <is>
          <t>exit</t>
        </is>
      </c>
      <c r="B29" s="26" t="inlineStr">
        <is>
          <t>ExitScreen (exit_screen.dart)</t>
        </is>
      </c>
      <c r="C29" s="27" t="inlineStr">
        <is>
          <t>Partial</t>
        </is>
      </c>
      <c r="D29" s="26" t="inlineStr">
        <is>
          <t>Routed at /exit. _earliestInvestmentDateProvider queries investor_units for earliest investment_date (real Supabase, 5-sec session wait). 'Request Exit' button is a STUB — no backend persistence.</t>
        </is>
      </c>
      <c r="E29" s="26" t="inlineStr">
        <is>
          <t>From Profile tap 'Project Exit' → /exit. Shows investment date, lock-in end date (investment + 5y), time remaining. If lock-in passed → 'Request Exit' button enabled; tap shows snackbar 'Exit request submitted. Our team will review within 5 business days' but no row is created. If not eligible → disabled grey button with lock icon. 'Learn about the exit process →' shows mock multiline snackbar.</t>
        </is>
      </c>
      <c r="F29" s="26" t="inlineStr">
        <is>
          <t>2026-05-12</t>
        </is>
      </c>
    </row>
    <row r="30" ht="90" customHeight="1">
      <c r="A30" s="22" t="inlineStr">
        <is>
          <t>onboarding</t>
        </is>
      </c>
      <c r="B30" s="22" t="inlineStr">
        <is>
          <t>TutorialOverlay (tutorial_overlay.dart)</t>
        </is>
      </c>
      <c r="C30" s="23" t="inlineStr">
        <is>
          <t>Pass</t>
        </is>
      </c>
      <c r="D30" s="22" t="inlineStr">
        <is>
          <t>NOT routed — mounted inside MainScaffold. Visibility via shouldShowTutorialProvider. tutorialSeenProvider persisted in Hive. Replay via Profile button.</t>
        </is>
      </c>
      <c r="E30" s="22" t="inlineStr">
        <is>
          <t>On first launch (or for users with no allocations), full-screen overlay appears over Home with semi-transparent backdrop. 4-step carousel (Welcome / Track Projects / Payouts / Discover) with sample mock data ('₹1.20 Cr', 'Pineapple Enterprises'). Skip or step-through; final step 'Get Started' sets tutorialSeenProvider=true. Won't show again unless user taps Replay Tour in Profile.</t>
        </is>
      </c>
      <c r="F30" s="22" t="inlineStr">
        <is>
          <t>2026-05-12</t>
        </is>
      </c>
    </row>
    <row r="31" ht="90" customHeight="1">
      <c r="A31" s="26" t="inlineStr">
        <is>
          <t>gating</t>
        </is>
      </c>
      <c r="B31" s="26" t="inlineStr">
        <is>
          <t>ForceUpdateScreen (force_update_screen.dart)</t>
        </is>
      </c>
      <c r="C31" s="23" t="inlineStr">
        <is>
          <t>Pass</t>
        </is>
      </c>
      <c r="D31" s="26" t="inlineStr">
        <is>
          <t>NOT in router — main.dart checks gateStatusProvider and replaces app root if gate != ok. appConfigRepository.all() reads app_config table (min_app_version, maintenance_mode). Semantic version parser.</t>
        </is>
      </c>
      <c r="E31" s="26" t="inlineStr">
        <is>
          <t>On launch, if current app version &lt; min_app_version, app root is replaced with ForceUpdateScreen showing current vs required version + 'Update now' button (opens Play Store via url_launcher). Cannot bypass; no Remind Me Later.</t>
        </is>
      </c>
      <c r="F31" s="26" t="inlineStr">
        <is>
          <t>2026-05-12</t>
        </is>
      </c>
    </row>
    <row r="32" ht="90" customHeight="1">
      <c r="A32" s="22" t="inlineStr">
        <is>
          <t>gating</t>
        </is>
      </c>
      <c r="B32" s="22" t="inlineStr">
        <is>
          <t>MaintenanceScreen (maintenance_screen.dart)</t>
        </is>
      </c>
      <c r="C32" s="23" t="inlineStr">
        <is>
          <t>Pass</t>
        </is>
      </c>
      <c r="D32" s="22" t="inlineStr">
        <is>
          <t>Same gate path as ForceUpdate but triggered by maintenance_mode=true in app_config.</t>
        </is>
      </c>
      <c r="E32" s="22" t="inlineStr">
        <is>
          <t>On launch, if maintenance_mode=true, app root is replaced with MaintenanceScreen showing message + 'Retry' button. Retry re-evaluates gateStatusProvider with spinner; if gate clears, app proceeds. No ETA shown.</t>
        </is>
      </c>
      <c r="F32" s="22" t="inlineStr">
        <is>
          <t>2026-05-12</t>
        </is>
      </c>
    </row>
  </sheetData>
  <mergeCells count="3">
    <mergeCell ref="A3:F3"/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2026-05-05T15:13:05Z</dcterms:created>
  <dcterms:modified xsi:type="dcterms:W3CDTF">2026-05-12T15:19:44Z</dcterms:modified>
  <cp:lastModifiedBy>Unknown</cp:lastModifiedBy>
</cp:coreProperties>
</file>